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2C6009DB-70A5-48B0-88CC-308F52AB1974}" xr6:coauthVersionLast="47" xr6:coauthVersionMax="47" xr10:uidLastSave="{00000000-0000-0000-0000-000000000000}"/>
  <bookViews>
    <workbookView xWindow="-108" yWindow="-108" windowWidth="23256" windowHeight="13176" activeTab="2" xr2:uid="{00000000-000D-0000-FFFF-FFFF00000000}"/>
  </bookViews>
  <sheets>
    <sheet name="Raw_Data" sheetId="1" r:id="rId1"/>
    <sheet name="analyse-data" sheetId="2" r:id="rId2"/>
    <sheet name="dashboard" sheetId="3" r:id="rId3"/>
  </sheets>
  <definedNames>
    <definedName name="Slicer_Customer_Type">#N/A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5" i="2" l="1"/>
  <c r="C5" i="2"/>
  <c r="E5" i="2"/>
  <c r="H5" i="2"/>
  <c r="Q3" i="1"/>
  <c r="Q4" i="1"/>
  <c r="Q5" i="1"/>
  <c r="Q6" i="1"/>
  <c r="Q7" i="1"/>
  <c r="Q8" i="1"/>
  <c r="Q9" i="1"/>
  <c r="Q10" i="1"/>
  <c r="Q11" i="1"/>
  <c r="Q12" i="1"/>
  <c r="Q13" i="1"/>
  <c r="Q14" i="1"/>
  <c r="Q15" i="1"/>
  <c r="Q16" i="1"/>
  <c r="Q17" i="1"/>
  <c r="Q18" i="1"/>
  <c r="Q19" i="1"/>
  <c r="Q20" i="1"/>
  <c r="Q21" i="1"/>
  <c r="Q22" i="1"/>
  <c r="Q23" i="1"/>
  <c r="Q24" i="1"/>
  <c r="Q25" i="1"/>
  <c r="Q26" i="1"/>
  <c r="Q2" i="1"/>
  <c r="P3" i="1"/>
  <c r="P4" i="1"/>
  <c r="P5" i="1"/>
  <c r="P6" i="1"/>
  <c r="P7" i="1"/>
  <c r="P8" i="1"/>
  <c r="P9" i="1"/>
  <c r="P10" i="1"/>
  <c r="P11" i="1"/>
  <c r="P12" i="1"/>
  <c r="P13" i="1"/>
  <c r="P14" i="1"/>
  <c r="P15" i="1"/>
  <c r="P16" i="1"/>
  <c r="P17" i="1"/>
  <c r="P18" i="1"/>
  <c r="P19" i="1"/>
  <c r="P20" i="1"/>
  <c r="P21" i="1"/>
  <c r="P22" i="1"/>
  <c r="P23" i="1"/>
  <c r="P24" i="1"/>
  <c r="P25" i="1"/>
  <c r="P26" i="1"/>
  <c r="P2" i="1"/>
  <c r="O3" i="1"/>
  <c r="O4" i="1"/>
  <c r="O5" i="1"/>
  <c r="O6" i="1"/>
  <c r="O7" i="1"/>
  <c r="O8" i="1"/>
  <c r="O9" i="1"/>
  <c r="O10" i="1"/>
  <c r="O11" i="1"/>
  <c r="O12" i="1"/>
  <c r="O13" i="1"/>
  <c r="O14" i="1"/>
  <c r="O15" i="1"/>
  <c r="O16" i="1"/>
  <c r="O17" i="1"/>
  <c r="O18" i="1"/>
  <c r="O19" i="1"/>
  <c r="O20" i="1"/>
  <c r="O21" i="1"/>
  <c r="O22" i="1"/>
  <c r="O23" i="1"/>
  <c r="O24" i="1"/>
  <c r="O25" i="1"/>
  <c r="O26" i="1"/>
  <c r="O2" i="1"/>
  <c r="N3" i="1"/>
  <c r="N4" i="1"/>
  <c r="N5" i="1"/>
  <c r="N6" i="1"/>
  <c r="N7" i="1"/>
  <c r="N8" i="1"/>
  <c r="N9" i="1"/>
  <c r="N10" i="1"/>
  <c r="N11" i="1"/>
  <c r="N12" i="1"/>
  <c r="N13" i="1"/>
  <c r="N14" i="1"/>
  <c r="N15" i="1"/>
  <c r="N16" i="1"/>
  <c r="N17" i="1"/>
  <c r="N18" i="1"/>
  <c r="N19" i="1"/>
  <c r="N20" i="1"/>
  <c r="N21" i="1"/>
  <c r="N22" i="1"/>
  <c r="N23" i="1"/>
  <c r="N24" i="1"/>
  <c r="N25" i="1"/>
  <c r="N26" i="1"/>
  <c r="N2" i="1"/>
  <c r="M3" i="1" l="1"/>
  <c r="M4" i="1"/>
  <c r="M5" i="1"/>
  <c r="M6" i="1"/>
  <c r="M7" i="1"/>
  <c r="M8" i="1"/>
  <c r="M9" i="1"/>
  <c r="M10" i="1"/>
  <c r="M11" i="1"/>
  <c r="M12" i="1"/>
  <c r="M13" i="1"/>
  <c r="M14" i="1"/>
  <c r="M15" i="1"/>
  <c r="M16" i="1"/>
  <c r="M17" i="1"/>
  <c r="M18" i="1"/>
  <c r="M19" i="1"/>
  <c r="M20" i="1"/>
  <c r="M21" i="1"/>
  <c r="M22" i="1"/>
  <c r="M23" i="1"/>
  <c r="M24" i="1"/>
  <c r="M25" i="1"/>
  <c r="M26" i="1"/>
  <c r="M2" i="1"/>
</calcChain>
</file>

<file path=xl/sharedStrings.xml><?xml version="1.0" encoding="utf-8"?>
<sst xmlns="http://schemas.openxmlformats.org/spreadsheetml/2006/main" count="244" uniqueCount="155">
  <si>
    <t>Order_ID</t>
  </si>
  <si>
    <t>Order_Date</t>
  </si>
  <si>
    <t>Customer_ID</t>
  </si>
  <si>
    <t>Customer_Type</t>
  </si>
  <si>
    <t>Region</t>
  </si>
  <si>
    <t>State</t>
  </si>
  <si>
    <t>Product_Category</t>
  </si>
  <si>
    <t>Product_Name</t>
  </si>
  <si>
    <t>Unit_Price</t>
  </si>
  <si>
    <t>Quantity</t>
  </si>
  <si>
    <t>Discount_%</t>
  </si>
  <si>
    <t>Cost_Price</t>
  </si>
  <si>
    <t>ORD101</t>
  </si>
  <si>
    <t>01-01-2025</t>
  </si>
  <si>
    <t>C101</t>
  </si>
  <si>
    <t>Retail</t>
  </si>
  <si>
    <t>South</t>
  </si>
  <si>
    <t>Telangana</t>
  </si>
  <si>
    <t>Electronics</t>
  </si>
  <si>
    <t>Bluetooth Speaker</t>
  </si>
  <si>
    <t>ORD102</t>
  </si>
  <si>
    <t>05-01-2025</t>
  </si>
  <si>
    <t>C102</t>
  </si>
  <si>
    <t>Corporate</t>
  </si>
  <si>
    <t>North</t>
  </si>
  <si>
    <t>Delhi</t>
  </si>
  <si>
    <t>Laptop</t>
  </si>
  <si>
    <t>ORD103</t>
  </si>
  <si>
    <t>12-01-2025</t>
  </si>
  <si>
    <t>C103</t>
  </si>
  <si>
    <t>Wholesale</t>
  </si>
  <si>
    <t>West</t>
  </si>
  <si>
    <t>Maharashtra</t>
  </si>
  <si>
    <t>Furniture</t>
  </si>
  <si>
    <t>Office Chair</t>
  </si>
  <si>
    <t>ORD104</t>
  </si>
  <si>
    <t>18-01-2025</t>
  </si>
  <si>
    <t>C104</t>
  </si>
  <si>
    <t>East</t>
  </si>
  <si>
    <t>Odisha</t>
  </si>
  <si>
    <t>Appliances</t>
  </si>
  <si>
    <t>Mixer Grinder</t>
  </si>
  <si>
    <t>ORD105</t>
  </si>
  <si>
    <t>25-01-2025</t>
  </si>
  <si>
    <t>C105</t>
  </si>
  <si>
    <t>Tamil Nadu</t>
  </si>
  <si>
    <t>Monitor</t>
  </si>
  <si>
    <t>ORD106</t>
  </si>
  <si>
    <t>02-02-2025</t>
  </si>
  <si>
    <t>C106</t>
  </si>
  <si>
    <t>Karnataka</t>
  </si>
  <si>
    <t>Study Table</t>
  </si>
  <si>
    <t>ORD107</t>
  </si>
  <si>
    <t>06-02-2025</t>
  </si>
  <si>
    <t>C107</t>
  </si>
  <si>
    <t>Punjab</t>
  </si>
  <si>
    <t>Water Purifier</t>
  </si>
  <si>
    <t>ORD108</t>
  </si>
  <si>
    <t>10-02-2025</t>
  </si>
  <si>
    <t>C108</t>
  </si>
  <si>
    <t>Gujarat</t>
  </si>
  <si>
    <t>Power Bank</t>
  </si>
  <si>
    <t>ORD109</t>
  </si>
  <si>
    <t>15-02-2025</t>
  </si>
  <si>
    <t>C109</t>
  </si>
  <si>
    <t>West Bengal</t>
  </si>
  <si>
    <t>Conference Table</t>
  </si>
  <si>
    <t>ORD110</t>
  </si>
  <si>
    <t>22-02-2025</t>
  </si>
  <si>
    <t>C110</t>
  </si>
  <si>
    <t>Andhra Pradesh</t>
  </si>
  <si>
    <t>Induction Stove</t>
  </si>
  <si>
    <t>ORD111</t>
  </si>
  <si>
    <t>03-03-2025</t>
  </si>
  <si>
    <t>C111</t>
  </si>
  <si>
    <t>Router</t>
  </si>
  <si>
    <t>ORD112</t>
  </si>
  <si>
    <t>07-03-2025</t>
  </si>
  <si>
    <t>C112</t>
  </si>
  <si>
    <t>Haryana</t>
  </si>
  <si>
    <t>Printer</t>
  </si>
  <si>
    <t>ORD113</t>
  </si>
  <si>
    <t>12-03-2025</t>
  </si>
  <si>
    <t>C113</t>
  </si>
  <si>
    <t>Assam</t>
  </si>
  <si>
    <t>Electric Kettle</t>
  </si>
  <si>
    <t>ORD114</t>
  </si>
  <si>
    <t>18-03-2025</t>
  </si>
  <si>
    <t>C114</t>
  </si>
  <si>
    <t>Kerala</t>
  </si>
  <si>
    <t>Wooden Shelf</t>
  </si>
  <si>
    <t>ORD115</t>
  </si>
  <si>
    <t>25-03-2025</t>
  </si>
  <si>
    <t>C115</t>
  </si>
  <si>
    <t>Rajasthan</t>
  </si>
  <si>
    <t>Smart Watch</t>
  </si>
  <si>
    <t>ORD116</t>
  </si>
  <si>
    <t>02-04-2025</t>
  </si>
  <si>
    <t>C116</t>
  </si>
  <si>
    <t>AC</t>
  </si>
  <si>
    <t>ORD117</t>
  </si>
  <si>
    <t>06-04-2025</t>
  </si>
  <si>
    <t>C117</t>
  </si>
  <si>
    <t>Bihar</t>
  </si>
  <si>
    <t>Steel Rack</t>
  </si>
  <si>
    <t>ORD118</t>
  </si>
  <si>
    <t>10-04-2025</t>
  </si>
  <si>
    <t>C118</t>
  </si>
  <si>
    <t>UP</t>
  </si>
  <si>
    <t>Earbuds</t>
  </si>
  <si>
    <t>ORD119</t>
  </si>
  <si>
    <t>15-04-2025</t>
  </si>
  <si>
    <t>C119</t>
  </si>
  <si>
    <t>MP</t>
  </si>
  <si>
    <t>Refrigerator</t>
  </si>
  <si>
    <t>ORD120</t>
  </si>
  <si>
    <t>22-04-2025</t>
  </si>
  <si>
    <t>C120</t>
  </si>
  <si>
    <t>Tablet</t>
  </si>
  <si>
    <t>ORD121</t>
  </si>
  <si>
    <t>01-05-2025</t>
  </si>
  <si>
    <t>C121</t>
  </si>
  <si>
    <t>Smart TV</t>
  </si>
  <si>
    <t>ORD122</t>
  </si>
  <si>
    <t>05-05-2025</t>
  </si>
  <si>
    <t>C122</t>
  </si>
  <si>
    <t>ORD123</t>
  </si>
  <si>
    <t>10-05-2025</t>
  </si>
  <si>
    <t>C123</t>
  </si>
  <si>
    <t>Office Desk</t>
  </si>
  <si>
    <t>ORD124</t>
  </si>
  <si>
    <t>15-05-2025</t>
  </si>
  <si>
    <t>C124</t>
  </si>
  <si>
    <t>Microwave Oven</t>
  </si>
  <si>
    <t>ORD125</t>
  </si>
  <si>
    <t>20-05-2025</t>
  </si>
  <si>
    <t>C125</t>
  </si>
  <si>
    <t>Server Monitor</t>
  </si>
  <si>
    <t>net_sales</t>
  </si>
  <si>
    <t>profit</t>
  </si>
  <si>
    <t>sales</t>
  </si>
  <si>
    <t>profit _margin%</t>
  </si>
  <si>
    <t>disount_amount</t>
  </si>
  <si>
    <t>Total Profit</t>
  </si>
  <si>
    <t>Average Sales Value</t>
  </si>
  <si>
    <t>Profit Margin</t>
  </si>
  <si>
    <t>Row Labels</t>
  </si>
  <si>
    <t>Grand Total</t>
  </si>
  <si>
    <t>Pivot 1</t>
  </si>
  <si>
    <t>pivot 2</t>
  </si>
  <si>
    <t>Sum of profit</t>
  </si>
  <si>
    <t>Pivot 3</t>
  </si>
  <si>
    <t>Sum of net_sales</t>
  </si>
  <si>
    <t>Total Sales</t>
  </si>
  <si>
    <r>
      <rPr>
        <b/>
        <sz val="26"/>
        <color theme="8" tint="-0.499984740745262"/>
        <rFont val="Calibri"/>
        <family val="2"/>
        <scheme val="minor"/>
      </rPr>
      <t>Sales &amp; Profit Performance Dashboard</t>
    </r>
    <r>
      <rPr>
        <b/>
        <sz val="26"/>
        <color theme="3"/>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</si>
</sst>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_ [$₹-4009]\ * #,##0.00_ ;_ [$₹-4009]\ * \-#,##0.00_ ;_ [$₹-4009]\ * &quot;-&quot;??_ ;_ @_ "/>
  </numFmts>
  <fonts count="4" x14ac:knownFonts="1">
    <font>
      <sz val="11"/>
      <color theme="1"/>
      <name val="Calibri"/>
      <family val="2"/>
      <scheme val="minor"/>
    </font>
    <font>
      <b/>
      <sz val="11"/>
      <color theme="1"/>
      <name val="Calibri"/>
      <family val="2"/>
      <scheme val="minor"/>
    </font>
    <font>
      <b/>
      <sz val="26"/>
      <color theme="3"/>
      <name val="Calibri"/>
      <family val="2"/>
      <scheme val="minor"/>
    </font>
    <font>
      <b/>
      <sz val="26"/>
      <color theme="8" tint="-0.499984740745262"/>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6">
    <xf numFmtId="0" fontId="0" fillId="0" borderId="0" xfId="0"/>
    <xf numFmtId="1"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3" borderId="0" xfId="0" applyFill="1"/>
    <xf numFmtId="165" fontId="0" fillId="3" borderId="0" xfId="0" applyNumberFormat="1" applyFill="1"/>
    <xf numFmtId="0" fontId="0" fillId="2" borderId="0" xfId="0" applyFill="1"/>
    <xf numFmtId="164" fontId="0" fillId="2" borderId="0" xfId="0" applyNumberFormat="1" applyFill="1"/>
    <xf numFmtId="164" fontId="0" fillId="0" borderId="0" xfId="0" applyNumberFormat="1"/>
    <xf numFmtId="9" fontId="0" fillId="2" borderId="0" xfId="0" applyNumberFormat="1" applyFill="1" applyAlignment="1">
      <alignment horizontal="center"/>
    </xf>
    <xf numFmtId="164" fontId="0" fillId="2" borderId="0" xfId="0" applyNumberFormat="1" applyFill="1" applyAlignment="1">
      <alignment horizontal="center"/>
    </xf>
    <xf numFmtId="0" fontId="0" fillId="2" borderId="0" xfId="0"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0" fontId="0" fillId="0" borderId="0" xfId="0" applyNumberFormat="1"/>
  </cellXfs>
  <cellStyles count="1">
    <cellStyle name="Normal" xfId="0" builtinId="0"/>
  </cellStyles>
  <dxfs count="1">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[sales-profit-dashboard.xlsx]analyse-data!PivotTable1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Region</a:t>
            </a:r>
            <a:r>
              <a:rPr lang="en-IN" sz="1100" b="1" baseline="0"/>
              <a:t> Wise Sales</a:t>
            </a:r>
            <a:endParaRPr lang="en-IN" sz="1100" b="1"/>
          </a:p>
        </c:rich>
      </c:tx>
      <c:layout>
        <c:manualLayout>
          <c:xMode val="edge"/>
          <c:yMode val="edge"/>
          <c:x val="0.31968529222864478"/>
          <c:y val="3.9750141964792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s>
    <c:plotArea>
      <c:layout/>
      <c:barChart>
        <c:barDir val="col"/>
        <c:grouping val="clustered"/>
        <c:varyColors val="0"/>
        <c:ser>
          <c:idx val="0"/>
          <c:order val="0"/>
          <c:tx>
            <c:strRef>
              <c:f>'analyse-data'!$D$10</c:f>
              <c:strCache>
                <c:ptCount val="1"/>
                <c:pt idx="0">
                  <c:v>Total</c:v>
                </c:pt>
              </c:strCache>
            </c:strRef>
          </c:tx>
          <c:spPr>
            <a:solidFill>
              <a:schemeClr val="accent1"/>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0-08E0-4EA0-9D0F-C8940D8355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'analyse-data'!$C$11:$C$15</c:f>
              <c:strCache>
                <c:ptCount val="4"/>
                <c:pt idx="0">
                  <c:v>East</c:v>
                </c:pt>
                <c:pt idx="1">
                  <c:v>North</c:v>
                </c:pt>
                <c:pt idx="2">
                  <c:v>South</c:v>
                </c:pt>
                <c:pt idx="3">
                  <c:v>West</c:v>
                </c:pt>
              </c:strCache>
            </c:strRef>
          </c:cat>
          <c:val>
            <c:numRef>
              <c:f>'analyse-data'!$D$11:$D$15</c:f>
              <c:numCache>
                <c:formatCode>General</c:formatCode>
                <c:ptCount val="4"/>
                <c:pt idx="0">
                  <c:v>60687</c:v>
                </c:pt>
                <c:pt idx="1">
                  <c:v>152750</c:v>
                </c:pt>
                <c:pt idx="2">
                  <c:v>176727</c:v>
                </c:pt>
                <c:pt idx="3">
                  <c:v>81511</c:v>
                </c:pt>
              </c:numCache>
            </c:numRef>
          </c:val>
          <c:extLst>
            <c:ext xmlns:c16="http://schemas.microsoft.com/office/drawing/2014/chart" uri="{C3380CC4-5D6E-409C-BE32-E72D297353CC}">
              <c16:uniqueId val="{00000000-5A05-4E6D-A282-991271EF0515}"/>
            </c:ext>
          </c:extLst>
        </c:ser>
        <c:dLbls>
          <c:dLblPos val="outEnd"/>
          <c:showLegendKey val="0"/>
          <c:showVal val="1"/>
          <c:showCatName val="0"/>
          <c:showSerName val="0"/>
          <c:showPercent val="0"/>
          <c:showBubbleSize val="0"/>
        </c:dLbls>
        <c:gapWidth val="219"/>
        <c:overlap val="-27"/>
        <c:axId val="1444843727"/>
        <c:axId val="1444828847"/>
      </c:barChart>
      <c:catAx>
        <c:axId val="1444843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28847"/>
        <c:crosses val="autoZero"/>
        <c:auto val="1"/>
        <c:lblAlgn val="ctr"/>
        <c:lblOffset val="100"/>
        <c:noMultiLvlLbl val="0"/>
      </c:catAx>
      <c:valAx>
        <c:axId val="144482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4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[sales-profit-dashboard.xlsx]analyse-data!PivotTable2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000">
                <a:latin typeface="+mn-lt"/>
              </a:rPr>
              <a:t>CAtegory</a:t>
            </a:r>
            <a:r>
              <a:rPr lang="en-IN" sz="1000" baseline="0">
                <a:latin typeface="+mn-lt"/>
              </a:rPr>
              <a:t> wise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s>
    <c:plotArea>
      <c:layout/>
      <c:barChart>
        <c:barDir val="bar"/>
        <c:grouping val="clustered"/>
        <c:varyColors val="0"/>
        <c:ser>
          <c:idx val="0"/>
          <c:order val="0"/>
          <c:tx>
            <c:strRef>
              <c:f>'analyse-data'!$D$23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0-C5CD-463A-898B-88CB516438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'analyse-data'!$C$24:$C$27</c:f>
              <c:strCache>
                <c:ptCount val="3"/>
                <c:pt idx="0">
                  <c:v>Appliances</c:v>
                </c:pt>
                <c:pt idx="1">
                  <c:v>Electronics</c:v>
                </c:pt>
                <c:pt idx="2">
                  <c:v>Furniture</c:v>
                </c:pt>
              </c:strCache>
            </c:strRef>
          </c:cat>
          <c:val>
            <c:numRef>
              <c:f>'analyse-data'!$D$24:$D$27</c:f>
              <c:numCache>
                <c:formatCode>General</c:formatCode>
                <c:ptCount val="3"/>
                <c:pt idx="0">
                  <c:v>14237</c:v>
                </c:pt>
                <c:pt idx="1">
                  <c:v>26888</c:v>
                </c:pt>
                <c:pt idx="2">
                  <c:v>16550</c:v>
                </c:pt>
              </c:numCache>
            </c:numRef>
          </c:val>
          <c:extLst>
            <c:ext xmlns:c16="http://schemas.microsoft.com/office/drawing/2014/chart" uri="{C3380CC4-5D6E-409C-BE32-E72D297353CC}">
              <c16:uniqueId val="{00000000-E94C-46F5-8A5D-E30124407461}"/>
            </c:ext>
          </c:extLst>
        </c:ser>
        <c:dLbls>
          <c:dLblPos val="outEnd"/>
          <c:showLegendKey val="0"/>
          <c:showVal val="1"/>
          <c:showCatName val="0"/>
          <c:showSerName val="0"/>
          <c:showPercent val="0"/>
          <c:showBubbleSize val="0"/>
        </c:dLbls>
        <c:gapWidth val="326"/>
        <c:overlap val="-58"/>
        <c:axId val="1444844687"/>
        <c:axId val="1444845167"/>
      </c:barChart>
      <c:catAx>
        <c:axId val="144484468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45167"/>
        <c:crosses val="autoZero"/>
        <c:auto val="1"/>
        <c:lblAlgn val="ctr"/>
        <c:lblOffset val="100"/>
        <c:noMultiLvlLbl val="0"/>
      </c:catAx>
      <c:valAx>
        <c:axId val="144484516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4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[sales-profit-dashboard.xlsx]analyse-data!PivotTable3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Sales</a:t>
            </a:r>
            <a:r>
              <a:rPr lang="en-IN" sz="1100" b="1" baseline="0"/>
              <a:t> by Customer Type</a:t>
            </a:r>
            <a:endParaRPr lang="en-IN" sz="1100" b="1"/>
          </a:p>
        </c:rich>
      </c:tx>
      <c:layout>
        <c:manualLayout>
          <c:xMode val="edge"/>
          <c:yMode val="edge"/>
          <c:x val="0.25454847277556436"/>
          <c:y val="3.45423143350604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1539589672804843"/>
          <c:y val="0.15725728584445078"/>
          <c:w val="0.46276364358837613"/>
          <c:h val="0.80244334743131207"/>
        </c:manualLayout>
      </c:layout>
      <c:pieChart>
        <c:varyColors val="1"/>
        <c:ser>
          <c:idx val="0"/>
          <c:order val="0"/>
          <c:tx>
            <c:strRef>
              <c:f>'analyse-data'!$D$36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2F-4304-A06D-C4D94657B6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2F-4304-A06D-C4D94657B6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2F-4304-A06D-C4D94657B6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'analyse-data'!$C$37:$C$40</c:f>
              <c:strCache>
                <c:ptCount val="3"/>
                <c:pt idx="0">
                  <c:v>Corporate</c:v>
                </c:pt>
                <c:pt idx="1">
                  <c:v>Retail</c:v>
                </c:pt>
                <c:pt idx="2">
                  <c:v>Wholesale</c:v>
                </c:pt>
              </c:strCache>
            </c:strRef>
          </c:cat>
          <c:val>
            <c:numRef>
              <c:f>'analyse-data'!$D$37:$D$40</c:f>
              <c:numCache>
                <c:formatCode>General</c:formatCode>
                <c:ptCount val="3"/>
                <c:pt idx="0">
                  <c:v>268630</c:v>
                </c:pt>
                <c:pt idx="1">
                  <c:v>106415</c:v>
                </c:pt>
                <c:pt idx="2">
                  <c:v>96630</c:v>
                </c:pt>
              </c:numCache>
            </c:numRef>
          </c:val>
          <c:extLst>
            <c:ext xmlns:c16="http://schemas.microsoft.com/office/drawing/2014/chart" uri="{C3380CC4-5D6E-409C-BE32-E72D297353CC}">
              <c16:uniqueId val="{00000000-F954-438B-B57B-85EB50E9557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[sales-profit-dashboard.xlsx]analyse-data!PivotTable1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South Region Leads Revenue,East underPerforms</a:t>
            </a:r>
          </a:p>
        </c:rich>
      </c:tx>
      <c:layout>
        <c:manualLayout>
          <c:xMode val="edge"/>
          <c:yMode val="edge"/>
          <c:x val="0.22984996323067813"/>
          <c:y val="5.34188034188034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col"/>
        <c:grouping val="clustered"/>
        <c:varyColors val="0"/>
        <c:ser>
          <c:idx val="0"/>
          <c:order val="0"/>
          <c:tx>
            <c:strRef>
              <c:f>'analyse-data'!$D$10</c:f>
              <c:strCache>
                <c:ptCount val="1"/>
                <c:pt idx="0">
                  <c:v>Total</c:v>
                </c:pt>
              </c:strCache>
            </c:strRef>
          </c:tx>
          <c:spPr>
            <a:solidFill>
              <a:schemeClr val="accent1">
                <a:lumMod val="60000"/>
                <a:lumOff val="40000"/>
              </a:schemeClr>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B8DD-4D7D-AF84-885B4292061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B8DD-4D7D-AF84-885B4292061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E-38E2-4599-A393-2DFB31B89C2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B8DD-4D7D-AF84-885B429206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'analyse-data'!$C$11:$C$15</c:f>
              <c:strCache>
                <c:ptCount val="4"/>
                <c:pt idx="0">
                  <c:v>East</c:v>
                </c:pt>
                <c:pt idx="1">
                  <c:v>North</c:v>
                </c:pt>
                <c:pt idx="2">
                  <c:v>South</c:v>
                </c:pt>
                <c:pt idx="3">
                  <c:v>West</c:v>
                </c:pt>
              </c:strCache>
            </c:strRef>
          </c:cat>
          <c:val>
            <c:numRef>
              <c:f>'analyse-data'!$D$11:$D$15</c:f>
              <c:numCache>
                <c:formatCode>General</c:formatCode>
                <c:ptCount val="4"/>
                <c:pt idx="0">
                  <c:v>60687</c:v>
                </c:pt>
                <c:pt idx="1">
                  <c:v>152750</c:v>
                </c:pt>
                <c:pt idx="2">
                  <c:v>176727</c:v>
                </c:pt>
                <c:pt idx="3">
                  <c:v>81511</c:v>
                </c:pt>
              </c:numCache>
            </c:numRef>
          </c:val>
          <c:extLst>
            <c:ext xmlns:c16="http://schemas.microsoft.com/office/drawing/2014/chart" uri="{C3380CC4-5D6E-409C-BE32-E72D297353CC}">
              <c16:uniqueId val="{00000000-BA87-440E-9E9D-81A7B4DBC139}"/>
            </c:ext>
          </c:extLst>
        </c:ser>
        <c:dLbls>
          <c:dLblPos val="outEnd"/>
          <c:showLegendKey val="0"/>
          <c:showVal val="1"/>
          <c:showCatName val="0"/>
          <c:showSerName val="0"/>
          <c:showPercent val="0"/>
          <c:showBubbleSize val="0"/>
        </c:dLbls>
        <c:gapWidth val="219"/>
        <c:overlap val="-27"/>
        <c:axId val="1444843727"/>
        <c:axId val="1444828847"/>
      </c:barChart>
      <c:catAx>
        <c:axId val="144484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28847"/>
        <c:crosses val="autoZero"/>
        <c:auto val="1"/>
        <c:lblAlgn val="ctr"/>
        <c:lblOffset val="100"/>
        <c:noMultiLvlLbl val="0"/>
      </c:catAx>
      <c:valAx>
        <c:axId val="144482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4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[sales-profit-dashboard.xlsx]analyse-data!PivotTable2</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900" b="0"/>
              <a:t>Electronics</a:t>
            </a:r>
            <a:r>
              <a:rPr lang="en-IN" sz="1600" b="0" baseline="0"/>
              <a:t> </a:t>
            </a:r>
            <a:r>
              <a:rPr lang="en-IN" sz="900" b="0" baseline="0"/>
              <a:t>Generates highest profit</a:t>
            </a:r>
          </a:p>
        </c:rich>
      </c:tx>
      <c:layout>
        <c:manualLayout>
          <c:xMode val="edge"/>
          <c:yMode val="edge"/>
          <c:x val="0.14423611930735639"/>
          <c:y val="1.7857142857142856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bar"/>
        <c:grouping val="clustered"/>
        <c:varyColors val="0"/>
        <c:ser>
          <c:idx val="0"/>
          <c:order val="0"/>
          <c:tx>
            <c:strRef>
              <c:f>'analyse-data'!$D$23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0-8F70-4D92-8615-4310681024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'analyse-data'!$C$24:$C$27</c:f>
              <c:strCache>
                <c:ptCount val="3"/>
                <c:pt idx="0">
                  <c:v>Appliances</c:v>
                </c:pt>
                <c:pt idx="1">
                  <c:v>Electronics</c:v>
                </c:pt>
                <c:pt idx="2">
                  <c:v>Furniture</c:v>
                </c:pt>
              </c:strCache>
            </c:strRef>
          </c:cat>
          <c:val>
            <c:numRef>
              <c:f>'analyse-data'!$D$24:$D$27</c:f>
              <c:numCache>
                <c:formatCode>General</c:formatCode>
                <c:ptCount val="3"/>
                <c:pt idx="0">
                  <c:v>14237</c:v>
                </c:pt>
                <c:pt idx="1">
                  <c:v>26888</c:v>
                </c:pt>
                <c:pt idx="2">
                  <c:v>16550</c:v>
                </c:pt>
              </c:numCache>
            </c:numRef>
          </c:val>
          <c:extLst>
            <c:ext xmlns:c16="http://schemas.microsoft.com/office/drawing/2014/chart" uri="{C3380CC4-5D6E-409C-BE32-E72D297353CC}">
              <c16:uniqueId val="{00000000-E673-43BA-99BD-0AE8B6B9F85C}"/>
            </c:ext>
          </c:extLst>
        </c:ser>
        <c:dLbls>
          <c:showLegendKey val="0"/>
          <c:showVal val="0"/>
          <c:showCatName val="0"/>
          <c:showSerName val="0"/>
          <c:showPercent val="0"/>
          <c:showBubbleSize val="0"/>
        </c:dLbls>
        <c:gapWidth val="326"/>
        <c:overlap val="-58"/>
        <c:axId val="1444844687"/>
        <c:axId val="1444845167"/>
      </c:barChart>
      <c:catAx>
        <c:axId val="144484468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45167"/>
        <c:crosses val="autoZero"/>
        <c:auto val="1"/>
        <c:lblAlgn val="ctr"/>
        <c:lblOffset val="100"/>
        <c:noMultiLvlLbl val="0"/>
      </c:catAx>
      <c:valAx>
        <c:axId val="144484516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solidFill>
            <a:schemeClr val="accent2">
              <a:lumMod val="20000"/>
              <a:lumOff val="80000"/>
            </a:schemeClr>
          </a:solidFill>
          <a:ln>
            <a:solidFill>
              <a:schemeClr val="accent2">
                <a:lumMod val="20000"/>
                <a:lumOff val="8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4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[sales-profit-dashboard.xlsx]analyse-data!PivotTable3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0">
                <a:solidFill>
                  <a:schemeClr val="tx1">
                    <a:lumMod val="65000"/>
                    <a:lumOff val="35000"/>
                  </a:schemeClr>
                </a:solidFill>
              </a:rPr>
              <a:t>Corporate</a:t>
            </a:r>
            <a:r>
              <a:rPr lang="en-IN" sz="1000" b="0" baseline="0">
                <a:solidFill>
                  <a:schemeClr val="tx1">
                    <a:lumMod val="65000"/>
                    <a:lumOff val="35000"/>
                  </a:schemeClr>
                </a:solidFill>
              </a:rPr>
              <a:t> Customers drive Revenue</a:t>
            </a:r>
            <a:endParaRPr lang="en-IN" sz="1000" b="0">
              <a:solidFill>
                <a:schemeClr val="tx1">
                  <a:lumMod val="65000"/>
                  <a:lumOff val="35000"/>
                </a:schemeClr>
              </a:solidFill>
            </a:endParaRPr>
          </a:p>
        </c:rich>
      </c:tx>
      <c:layout>
        <c:manualLayout>
          <c:xMode val="edge"/>
          <c:yMode val="edge"/>
          <c:x val="0.12016088147905717"/>
          <c:y val="4.1666666666666664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'analyse-data'!$D$36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7B-44C0-93B9-58106C891E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7B-44C0-93B9-58106C891E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7B-44C0-93B9-58106C891E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'analyse-data'!$C$37:$C$40</c:f>
              <c:strCache>
                <c:ptCount val="3"/>
                <c:pt idx="0">
                  <c:v>Corporate</c:v>
                </c:pt>
                <c:pt idx="1">
                  <c:v>Retail</c:v>
                </c:pt>
                <c:pt idx="2">
                  <c:v>Wholesale</c:v>
                </c:pt>
              </c:strCache>
            </c:strRef>
          </c:cat>
          <c:val>
            <c:numRef>
              <c:f>'analyse-data'!$D$37:$D$40</c:f>
              <c:numCache>
                <c:formatCode>General</c:formatCode>
                <c:ptCount val="3"/>
                <c:pt idx="0">
                  <c:v>268630</c:v>
                </c:pt>
                <c:pt idx="1">
                  <c:v>106415</c:v>
                </c:pt>
                <c:pt idx="2">
                  <c:v>96630</c:v>
                </c:pt>
              </c:numCache>
            </c:numRef>
          </c:val>
          <c:extLst>
            <c:ext xmlns:c16="http://schemas.microsoft.com/office/drawing/2014/chart" uri="{C3380CC4-5D6E-409C-BE32-E72D297353CC}">
              <c16:uniqueId val="{00000006-F27B-44C0-93B9-58106C891EB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4.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617220</xdr:colOff>
      <xdr:row>6</xdr:row>
      <xdr:rowOff>140970</xdr:rowOff>
    </xdr:from>
    <xdr:to>
      <xdr:col>11</xdr:col>
      <xdr:colOff>365760</xdr:colOff>
      <xdr:row>19</xdr:row>
      <xdr:rowOff>0</xdr:rowOff>
    </xdr:to>
    <xdr:graphicFrame macro="">
      <xdr:nvGraphicFramePr>
        <xdr:cNvPr id="3" name="Chart 2">
          <a:extLst>
            <a:ext uri="{FF2B5EF4-FFF2-40B4-BE49-F238E27FC236}">
              <a16:creationId xmlns:a16="http://schemas.microsoft.com/office/drawing/2014/main" id="{53420A39-5D89-0413-C8C8-99473ADB1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624840</xdr:colOff>
      <xdr:row>20</xdr:row>
      <xdr:rowOff>118110</xdr:rowOff>
    </xdr:from>
    <xdr:to>
      <xdr:col>11</xdr:col>
      <xdr:colOff>342900</xdr:colOff>
      <xdr:row>31</xdr:row>
      <xdr:rowOff>167640</xdr:rowOff>
    </xdr:to>
    <xdr:graphicFrame macro="">
      <xdr:nvGraphicFramePr>
        <xdr:cNvPr id="4" name="Chart 3">
          <a:extLst>
            <a:ext uri="{FF2B5EF4-FFF2-40B4-BE49-F238E27FC236}">
              <a16:creationId xmlns:a16="http://schemas.microsoft.com/office/drawing/2014/main" id="{A340EC6E-E7B7-C0A3-447A-7992E6C42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33</xdr:row>
      <xdr:rowOff>156210</xdr:rowOff>
    </xdr:from>
    <xdr:to>
      <xdr:col>11</xdr:col>
      <xdr:colOff>365760</xdr:colOff>
      <xdr:row>45</xdr:row>
      <xdr:rowOff>167640</xdr:rowOff>
    </xdr:to>
    <xdr:graphicFrame macro="">
      <xdr:nvGraphicFramePr>
        <xdr:cNvPr id="5" name="Chart 4">
          <a:extLst>
            <a:ext uri="{FF2B5EF4-FFF2-40B4-BE49-F238E27FC236}">
              <a16:creationId xmlns:a16="http://schemas.microsoft.com/office/drawing/2014/main" id="{236DC32D-D541-077F-042D-1FE2D8CEB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807720</xdr:colOff>
      <xdr:row>3</xdr:row>
      <xdr:rowOff>0</xdr:rowOff>
    </xdr:from>
    <xdr:to>
      <xdr:col>3</xdr:col>
      <xdr:colOff>152400</xdr:colOff>
      <xdr:row>5</xdr:row>
      <xdr:rowOff>114300</xdr:rowOff>
    </xdr:to>
    <xdr:sp macro="" textlink="">
      <xdr:nvSpPr>
        <xdr:cNvPr id="2" name="Rectangle 1">
          <a:extLst>
            <a:ext uri="{FF2B5EF4-FFF2-40B4-BE49-F238E27FC236}">
              <a16:creationId xmlns:a16="http://schemas.microsoft.com/office/drawing/2014/main" id="{D5A352C9-26AD-2193-DD34-E48F7C3DF1B4}"/>
            </a:ext>
          </a:extLst>
        </xdr:cNvPr>
        <xdr:cNvSpPr/>
      </xdr:nvSpPr>
      <xdr:spPr>
        <a:xfrm>
          <a:off x="1668780" y="548640"/>
          <a:ext cx="1066800" cy="480060"/>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b"/>
          <a:r>
            <a:rPr lang="en-IN" sz="1100" b="1" i="0" u="none" strike="noStrike">
              <a:solidFill>
                <a:schemeClr val="tx2"/>
              </a:solidFill>
              <a:effectLst/>
              <a:latin typeface="+mn-lt"/>
              <a:ea typeface="+mn-ea"/>
              <a:cs typeface="+mn-cs"/>
            </a:rPr>
            <a:t>Total Sales </a:t>
          </a:r>
        </a:p>
        <a:p>
          <a:r>
            <a:rPr lang="en-IN" sz="1100" b="1" i="0" u="none" strike="noStrike">
              <a:solidFill>
                <a:schemeClr val="tx2">
                  <a:lumMod val="50000"/>
                </a:schemeClr>
              </a:solidFill>
              <a:effectLst/>
              <a:latin typeface="+mn-lt"/>
              <a:ea typeface="+mn-ea"/>
              <a:cs typeface="+mn-cs"/>
            </a:rPr>
            <a:t>₹ 4,71,675</a:t>
          </a:r>
          <a:r>
            <a:rPr lang="en-IN" b="1">
              <a:solidFill>
                <a:schemeClr val="tx2">
                  <a:lumMod val="50000"/>
                </a:schemeClr>
              </a:solidFill>
              <a:effectLst/>
            </a:rPr>
            <a:t> </a:t>
          </a:r>
          <a:endParaRPr lang="en-IN" sz="1100" b="1">
            <a:solidFill>
              <a:schemeClr val="tx2">
                <a:lumMod val="50000"/>
              </a:schemeClr>
            </a:solidFill>
          </a:endParaRPr>
        </a:p>
      </xdr:txBody>
    </xdr:sp>
    <xdr:clientData/>
  </xdr:twoCellAnchor>
  <xdr:twoCellAnchor>
    <xdr:from>
      <xdr:col>3</xdr:col>
      <xdr:colOff>1043940</xdr:colOff>
      <xdr:row>3</xdr:row>
      <xdr:rowOff>0</xdr:rowOff>
    </xdr:from>
    <xdr:to>
      <xdr:col>6</xdr:col>
      <xdr:colOff>30480</xdr:colOff>
      <xdr:row>5</xdr:row>
      <xdr:rowOff>114300</xdr:rowOff>
    </xdr:to>
    <xdr:sp macro="" textlink="">
      <xdr:nvSpPr>
        <xdr:cNvPr id="6" name="Rectangle 5">
          <a:extLst>
            <a:ext uri="{FF2B5EF4-FFF2-40B4-BE49-F238E27FC236}">
              <a16:creationId xmlns:a16="http://schemas.microsoft.com/office/drawing/2014/main" id="{D65F2676-EE2B-AB43-8D86-C20E870BEA20}"/>
            </a:ext>
          </a:extLst>
        </xdr:cNvPr>
        <xdr:cNvSpPr/>
      </xdr:nvSpPr>
      <xdr:spPr>
        <a:xfrm>
          <a:off x="3627120" y="548640"/>
          <a:ext cx="929640" cy="480060"/>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b"/>
          <a:r>
            <a:rPr lang="en-IN" sz="1100" b="1" i="0" u="none" strike="noStrike">
              <a:solidFill>
                <a:schemeClr val="tx2"/>
              </a:solidFill>
              <a:effectLst/>
              <a:latin typeface="+mn-lt"/>
              <a:ea typeface="+mn-ea"/>
              <a:cs typeface="+mn-cs"/>
            </a:rPr>
            <a:t>Total Profit </a:t>
          </a:r>
        </a:p>
        <a:p>
          <a:r>
            <a:rPr lang="en-IN" sz="1100" b="1" i="0" u="none" strike="noStrike">
              <a:solidFill>
                <a:schemeClr val="tx2"/>
              </a:solidFill>
              <a:effectLst/>
              <a:latin typeface="+mn-lt"/>
              <a:ea typeface="+mn-ea"/>
              <a:cs typeface="+mn-cs"/>
            </a:rPr>
            <a:t>₹ 57,675</a:t>
          </a:r>
          <a:r>
            <a:rPr lang="en-IN" b="1">
              <a:solidFill>
                <a:schemeClr val="tx2"/>
              </a:solidFill>
              <a:effectLst/>
            </a:rPr>
            <a:t> </a:t>
          </a:r>
          <a:endParaRPr lang="en-IN" sz="1100" b="1">
            <a:solidFill>
              <a:schemeClr val="tx2"/>
            </a:solidFill>
          </a:endParaRPr>
        </a:p>
      </xdr:txBody>
    </xdr:sp>
    <xdr:clientData/>
  </xdr:twoCellAnchor>
  <xdr:twoCellAnchor>
    <xdr:from>
      <xdr:col>6</xdr:col>
      <xdr:colOff>723900</xdr:colOff>
      <xdr:row>3</xdr:row>
      <xdr:rowOff>0</xdr:rowOff>
    </xdr:from>
    <xdr:to>
      <xdr:col>9</xdr:col>
      <xdr:colOff>38100</xdr:colOff>
      <xdr:row>5</xdr:row>
      <xdr:rowOff>83820</xdr:rowOff>
    </xdr:to>
    <xdr:sp macro="" textlink="">
      <xdr:nvSpPr>
        <xdr:cNvPr id="7" name="Rectangle 6">
          <a:extLst>
            <a:ext uri="{FF2B5EF4-FFF2-40B4-BE49-F238E27FC236}">
              <a16:creationId xmlns:a16="http://schemas.microsoft.com/office/drawing/2014/main" id="{69E41426-6BEF-76CA-28C5-113C1F76AF5C}"/>
            </a:ext>
          </a:extLst>
        </xdr:cNvPr>
        <xdr:cNvSpPr/>
      </xdr:nvSpPr>
      <xdr:spPr>
        <a:xfrm>
          <a:off x="5250180" y="548640"/>
          <a:ext cx="1272540" cy="449580"/>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b"/>
          <a:r>
            <a:rPr lang="en-IN" sz="1000" b="1" i="0" u="none" strike="noStrike">
              <a:solidFill>
                <a:schemeClr val="tx2"/>
              </a:solidFill>
              <a:effectLst/>
              <a:latin typeface="+mn-lt"/>
              <a:ea typeface="+mn-ea"/>
              <a:cs typeface="+mn-cs"/>
            </a:rPr>
            <a:t>Average Sales Value </a:t>
          </a:r>
        </a:p>
        <a:p>
          <a:r>
            <a:rPr lang="en-IN" sz="1100" b="1" i="0" u="none" strike="noStrike">
              <a:solidFill>
                <a:schemeClr val="tx2"/>
              </a:solidFill>
              <a:effectLst/>
              <a:latin typeface="+mn-lt"/>
              <a:ea typeface="+mn-ea"/>
              <a:cs typeface="+mn-cs"/>
            </a:rPr>
            <a:t>        ₹ 18,867</a:t>
          </a:r>
          <a:r>
            <a:rPr lang="en-IN" b="1">
              <a:solidFill>
                <a:schemeClr val="tx2"/>
              </a:solidFill>
              <a:effectLst/>
            </a:rPr>
            <a:t> </a:t>
          </a:r>
          <a:endParaRPr lang="en-IN" sz="1100" b="1">
            <a:solidFill>
              <a:schemeClr val="tx2"/>
            </a:solidFill>
          </a:endParaRPr>
        </a:p>
      </xdr:txBody>
    </xdr:sp>
    <xdr:clientData/>
  </xdr:twoCellAnchor>
  <xdr:twoCellAnchor>
    <xdr:from>
      <xdr:col>9</xdr:col>
      <xdr:colOff>601980</xdr:colOff>
      <xdr:row>2</xdr:row>
      <xdr:rowOff>160020</xdr:rowOff>
    </xdr:from>
    <xdr:to>
      <xdr:col>12</xdr:col>
      <xdr:colOff>45720</xdr:colOff>
      <xdr:row>5</xdr:row>
      <xdr:rowOff>60960</xdr:rowOff>
    </xdr:to>
    <xdr:sp macro="" textlink="">
      <xdr:nvSpPr>
        <xdr:cNvPr id="10" name="Rectangle 9">
          <a:extLst>
            <a:ext uri="{FF2B5EF4-FFF2-40B4-BE49-F238E27FC236}">
              <a16:creationId xmlns:a16="http://schemas.microsoft.com/office/drawing/2014/main" id="{E8F35111-AEDC-434E-81B6-FFB84469BE88}"/>
            </a:ext>
          </a:extLst>
        </xdr:cNvPr>
        <xdr:cNvSpPr/>
      </xdr:nvSpPr>
      <xdr:spPr>
        <a:xfrm>
          <a:off x="7086600" y="525780"/>
          <a:ext cx="1272540" cy="449580"/>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b"/>
          <a:r>
            <a:rPr lang="en-IN" sz="1100" b="1" i="0" u="none" strike="noStrike">
              <a:solidFill>
                <a:schemeClr val="tx2"/>
              </a:solidFill>
              <a:effectLst/>
              <a:latin typeface="+mn-lt"/>
              <a:ea typeface="+mn-ea"/>
              <a:cs typeface="+mn-cs"/>
            </a:rPr>
            <a:t>Profit Margin </a:t>
          </a:r>
        </a:p>
        <a:p>
          <a:r>
            <a:rPr lang="en-IN" sz="1100" b="1" i="0" u="none" strike="noStrike">
              <a:solidFill>
                <a:schemeClr val="tx2"/>
              </a:solidFill>
              <a:effectLst/>
              <a:latin typeface="+mn-lt"/>
              <a:ea typeface="+mn-ea"/>
              <a:cs typeface="+mn-cs"/>
            </a:rPr>
            <a:t>           12%</a:t>
          </a:r>
          <a:r>
            <a:rPr lang="en-IN" b="1">
              <a:solidFill>
                <a:schemeClr val="tx2"/>
              </a:solidFill>
              <a:effectLst/>
            </a:rPr>
            <a:t> </a:t>
          </a:r>
          <a:endParaRPr lang="en-IN" sz="1100" b="1">
            <a:solidFill>
              <a:schemeClr val="tx2"/>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3</xdr:row>
      <xdr:rowOff>38100</xdr:rowOff>
    </xdr:from>
    <xdr:to>
      <xdr:col>3</xdr:col>
      <xdr:colOff>304800</xdr:colOff>
      <xdr:row>6</xdr:row>
      <xdr:rowOff>152400</xdr:rowOff>
    </xdr:to>
    <xdr:sp macro="" textlink="">
      <xdr:nvSpPr>
        <xdr:cNvPr id="2" name="Rectangle 1">
          <a:extLst>
            <a:ext uri="{FF2B5EF4-FFF2-40B4-BE49-F238E27FC236}">
              <a16:creationId xmlns:a16="http://schemas.microsoft.com/office/drawing/2014/main" id="{9D42BF3C-65F6-196F-1ECF-3A657EAD70DD}"/>
            </a:ext>
          </a:extLst>
        </xdr:cNvPr>
        <xdr:cNvSpPr/>
      </xdr:nvSpPr>
      <xdr:spPr>
        <a:xfrm>
          <a:off x="617220" y="586740"/>
          <a:ext cx="1516380" cy="662940"/>
        </a:xfrm>
        <a:prstGeom prst="rect">
          <a:avLst/>
        </a:prstGeom>
        <a:solidFill>
          <a:schemeClr val="bg1"/>
        </a:solidFill>
        <a:ln>
          <a:no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lumMod val="65000"/>
                  <a:lumOff val="35000"/>
                </a:schemeClr>
              </a:solidFill>
            </a:rPr>
            <a:t>       </a:t>
          </a:r>
          <a:r>
            <a:rPr lang="en-IN" sz="1100" b="1">
              <a:solidFill>
                <a:schemeClr val="tx1">
                  <a:lumMod val="65000"/>
                  <a:lumOff val="35000"/>
                </a:schemeClr>
              </a:solidFill>
            </a:rPr>
            <a:t>Total Sales     </a:t>
          </a:r>
          <a:r>
            <a:rPr lang="en-IN" sz="1100" b="0" i="0" u="none" strike="noStrike">
              <a:solidFill>
                <a:schemeClr val="lt1"/>
              </a:solidFill>
              <a:effectLst/>
              <a:latin typeface="+mn-lt"/>
              <a:ea typeface="+mn-ea"/>
              <a:cs typeface="+mn-cs"/>
            </a:rPr>
            <a:t>₹</a:t>
          </a:r>
          <a:endParaRPr lang="en-IN" sz="1100" b="1">
            <a:solidFill>
              <a:schemeClr val="tx1">
                <a:lumMod val="85000"/>
                <a:lumOff val="15000"/>
              </a:schemeClr>
            </a:solidFill>
          </a:endParaRPr>
        </a:p>
        <a:p>
          <a:pPr algn="l"/>
          <a:r>
            <a:rPr lang="en-IN" sz="1600" b="1" i="0" u="none" strike="noStrike" baseline="0">
              <a:solidFill>
                <a:schemeClr val="accent4">
                  <a:lumMod val="50000"/>
                </a:schemeClr>
              </a:solidFill>
              <a:effectLst/>
              <a:latin typeface="+mn-lt"/>
              <a:ea typeface="+mn-ea"/>
              <a:cs typeface="+mn-cs"/>
            </a:rPr>
            <a:t>  </a:t>
          </a:r>
          <a:r>
            <a:rPr lang="en-IN" sz="1400" b="0" i="0" u="none" strike="noStrike">
              <a:solidFill>
                <a:schemeClr val="accent4">
                  <a:lumMod val="50000"/>
                </a:schemeClr>
              </a:solidFill>
              <a:effectLst/>
              <a:latin typeface="+mn-lt"/>
              <a:ea typeface="+mn-ea"/>
              <a:cs typeface="+mn-cs"/>
            </a:rPr>
            <a:t>₹</a:t>
          </a:r>
          <a:r>
            <a:rPr lang="en-IN" sz="2000" b="0" i="0" u="none" strike="noStrike">
              <a:solidFill>
                <a:schemeClr val="accent4">
                  <a:lumMod val="50000"/>
                </a:schemeClr>
              </a:solidFill>
              <a:effectLst/>
              <a:latin typeface="+mn-lt"/>
              <a:ea typeface="+mn-ea"/>
              <a:cs typeface="+mn-cs"/>
            </a:rPr>
            <a:t> 4,71,675</a:t>
          </a:r>
          <a:r>
            <a:rPr lang="en-IN" sz="2000">
              <a:solidFill>
                <a:schemeClr val="accent4">
                  <a:lumMod val="50000"/>
                </a:schemeClr>
              </a:solidFill>
              <a:effectLst/>
            </a:rPr>
            <a:t> </a:t>
          </a:r>
          <a:endParaRPr lang="en-IN" sz="2000" b="1">
            <a:solidFill>
              <a:schemeClr val="accent4">
                <a:lumMod val="50000"/>
              </a:schemeClr>
            </a:solidFill>
          </a:endParaRPr>
        </a:p>
      </xdr:txBody>
    </xdr:sp>
    <xdr:clientData/>
  </xdr:twoCellAnchor>
  <xdr:twoCellAnchor>
    <xdr:from>
      <xdr:col>3</xdr:col>
      <xdr:colOff>480060</xdr:colOff>
      <xdr:row>3</xdr:row>
      <xdr:rowOff>38100</xdr:rowOff>
    </xdr:from>
    <xdr:to>
      <xdr:col>6</xdr:col>
      <xdr:colOff>121920</xdr:colOff>
      <xdr:row>6</xdr:row>
      <xdr:rowOff>152400</xdr:rowOff>
    </xdr:to>
    <xdr:sp macro="" textlink="">
      <xdr:nvSpPr>
        <xdr:cNvPr id="3" name="Rectangle 2">
          <a:extLst>
            <a:ext uri="{FF2B5EF4-FFF2-40B4-BE49-F238E27FC236}">
              <a16:creationId xmlns:a16="http://schemas.microsoft.com/office/drawing/2014/main" id="{7E69F2DA-45AA-2E97-BDA2-788EF957D446}"/>
            </a:ext>
          </a:extLst>
        </xdr:cNvPr>
        <xdr:cNvSpPr/>
      </xdr:nvSpPr>
      <xdr:spPr>
        <a:xfrm>
          <a:off x="2308860" y="586740"/>
          <a:ext cx="1470660" cy="662940"/>
        </a:xfrm>
        <a:prstGeom prst="rect">
          <a:avLst/>
        </a:prstGeom>
        <a:solidFill>
          <a:schemeClr val="bg1"/>
        </a:solidFill>
        <a:ln>
          <a:no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100" b="1">
              <a:solidFill>
                <a:schemeClr val="tx1"/>
              </a:solidFill>
            </a:rPr>
            <a:t>Total Profit</a:t>
          </a:r>
          <a:endParaRPr lang="en-IN" sz="1100" b="1" i="0" u="none" strike="noStrike">
            <a:solidFill>
              <a:schemeClr val="tx1"/>
            </a:solidFill>
            <a:effectLst/>
            <a:latin typeface="+mn-lt"/>
            <a:ea typeface="+mn-ea"/>
            <a:cs typeface="+mn-cs"/>
          </a:endParaRPr>
        </a:p>
        <a:p>
          <a:pPr algn="l"/>
          <a:r>
            <a:rPr lang="en-IN" sz="2000" b="0" i="0" u="none" strike="noStrike">
              <a:solidFill>
                <a:schemeClr val="accent2"/>
              </a:solidFill>
              <a:effectLst/>
              <a:latin typeface="+mn-lt"/>
              <a:ea typeface="+mn-ea"/>
              <a:cs typeface="+mn-cs"/>
            </a:rPr>
            <a:t>  ₹ 57,675</a:t>
          </a:r>
          <a:r>
            <a:rPr lang="en-IN" sz="2000" b="0">
              <a:solidFill>
                <a:schemeClr val="accent2"/>
              </a:solidFill>
              <a:effectLst/>
            </a:rPr>
            <a:t> </a:t>
          </a:r>
          <a:endParaRPr lang="en-IN" sz="2000" b="0">
            <a:solidFill>
              <a:schemeClr val="accent2"/>
            </a:solidFill>
          </a:endParaRPr>
        </a:p>
      </xdr:txBody>
    </xdr:sp>
    <xdr:clientData/>
  </xdr:twoCellAnchor>
  <xdr:twoCellAnchor>
    <xdr:from>
      <xdr:col>6</xdr:col>
      <xdr:colOff>320040</xdr:colOff>
      <xdr:row>3</xdr:row>
      <xdr:rowOff>38100</xdr:rowOff>
    </xdr:from>
    <xdr:to>
      <xdr:col>9</xdr:col>
      <xdr:colOff>45720</xdr:colOff>
      <xdr:row>6</xdr:row>
      <xdr:rowOff>160020</xdr:rowOff>
    </xdr:to>
    <xdr:sp macro="" textlink="">
      <xdr:nvSpPr>
        <xdr:cNvPr id="4" name="Rectangle 3">
          <a:extLst>
            <a:ext uri="{FF2B5EF4-FFF2-40B4-BE49-F238E27FC236}">
              <a16:creationId xmlns:a16="http://schemas.microsoft.com/office/drawing/2014/main" id="{B93BC4E6-0E72-439D-9CF0-60C0EE65388B}"/>
            </a:ext>
          </a:extLst>
        </xdr:cNvPr>
        <xdr:cNvSpPr/>
      </xdr:nvSpPr>
      <xdr:spPr>
        <a:xfrm>
          <a:off x="3977640" y="586740"/>
          <a:ext cx="1554480" cy="6705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   Avg Order value</a:t>
          </a:r>
        </a:p>
        <a:p>
          <a:pPr algn="l"/>
          <a:r>
            <a:rPr lang="en-IN" sz="1100" b="1" i="0" u="none" strike="noStrike" baseline="0">
              <a:solidFill>
                <a:schemeClr val="accent1">
                  <a:lumMod val="75000"/>
                </a:schemeClr>
              </a:solidFill>
              <a:effectLst/>
              <a:latin typeface="+mn-lt"/>
              <a:ea typeface="+mn-ea"/>
              <a:cs typeface="+mn-cs"/>
            </a:rPr>
            <a:t>   </a:t>
          </a:r>
          <a:r>
            <a:rPr lang="en-IN" sz="2000" b="0" i="0" u="none" strike="noStrike">
              <a:solidFill>
                <a:schemeClr val="accent1">
                  <a:lumMod val="75000"/>
                </a:schemeClr>
              </a:solidFill>
              <a:effectLst/>
              <a:latin typeface="+mn-lt"/>
              <a:ea typeface="+mn-ea"/>
              <a:cs typeface="+mn-cs"/>
            </a:rPr>
            <a:t>₹ 18,867</a:t>
          </a:r>
          <a:r>
            <a:rPr lang="en-IN" sz="2000">
              <a:solidFill>
                <a:schemeClr val="accent1">
                  <a:lumMod val="75000"/>
                </a:schemeClr>
              </a:solidFill>
              <a:effectLst/>
            </a:rPr>
            <a:t> </a:t>
          </a:r>
          <a:endParaRPr lang="en-IN" sz="2000">
            <a:solidFill>
              <a:schemeClr val="accent1">
                <a:lumMod val="75000"/>
              </a:schemeClr>
            </a:solidFill>
          </a:endParaRPr>
        </a:p>
      </xdr:txBody>
    </xdr:sp>
    <xdr:clientData/>
  </xdr:twoCellAnchor>
  <xdr:twoCellAnchor>
    <xdr:from>
      <xdr:col>9</xdr:col>
      <xdr:colOff>266700</xdr:colOff>
      <xdr:row>3</xdr:row>
      <xdr:rowOff>38100</xdr:rowOff>
    </xdr:from>
    <xdr:to>
      <xdr:col>11</xdr:col>
      <xdr:colOff>579120</xdr:colOff>
      <xdr:row>6</xdr:row>
      <xdr:rowOff>152400</xdr:rowOff>
    </xdr:to>
    <xdr:sp macro="" textlink="">
      <xdr:nvSpPr>
        <xdr:cNvPr id="5" name="Rectangle 4">
          <a:extLst>
            <a:ext uri="{FF2B5EF4-FFF2-40B4-BE49-F238E27FC236}">
              <a16:creationId xmlns:a16="http://schemas.microsoft.com/office/drawing/2014/main" id="{15E360A9-C4CD-43B0-B522-03CE5B386200}"/>
            </a:ext>
          </a:extLst>
        </xdr:cNvPr>
        <xdr:cNvSpPr/>
      </xdr:nvSpPr>
      <xdr:spPr>
        <a:xfrm>
          <a:off x="5753100" y="586740"/>
          <a:ext cx="1531620" cy="662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     Profit Margin</a:t>
          </a:r>
        </a:p>
        <a:p>
          <a:pPr algn="l"/>
          <a:r>
            <a:rPr lang="en-IN" sz="2000" b="0" i="0" u="none" strike="noStrike">
              <a:solidFill>
                <a:schemeClr val="accent6">
                  <a:lumMod val="75000"/>
                </a:schemeClr>
              </a:solidFill>
              <a:effectLst/>
              <a:latin typeface="+mn-lt"/>
              <a:ea typeface="+mn-ea"/>
              <a:cs typeface="+mn-cs"/>
            </a:rPr>
            <a:t>       12%</a:t>
          </a:r>
          <a:r>
            <a:rPr lang="en-IN">
              <a:solidFill>
                <a:schemeClr val="accent6">
                  <a:lumMod val="75000"/>
                </a:schemeClr>
              </a:solidFill>
              <a:effectLst/>
            </a:rPr>
            <a:t> </a:t>
          </a:r>
          <a:endParaRPr lang="en-IN" sz="1100">
            <a:solidFill>
              <a:schemeClr val="accent6">
                <a:lumMod val="75000"/>
              </a:schemeClr>
            </a:solidFill>
          </a:endParaRPr>
        </a:p>
      </xdr:txBody>
    </xdr:sp>
    <xdr:clientData/>
  </xdr:twoCellAnchor>
  <xdr:twoCellAnchor>
    <xdr:from>
      <xdr:col>1</xdr:col>
      <xdr:colOff>15240</xdr:colOff>
      <xdr:row>7</xdr:row>
      <xdr:rowOff>53340</xdr:rowOff>
    </xdr:from>
    <xdr:to>
      <xdr:col>11</xdr:col>
      <xdr:colOff>594360</xdr:colOff>
      <xdr:row>8</xdr:row>
      <xdr:rowOff>121920</xdr:rowOff>
    </xdr:to>
    <xdr:sp macro="" textlink="">
      <xdr:nvSpPr>
        <xdr:cNvPr id="7" name="Rectangle 6">
          <a:extLst>
            <a:ext uri="{FF2B5EF4-FFF2-40B4-BE49-F238E27FC236}">
              <a16:creationId xmlns:a16="http://schemas.microsoft.com/office/drawing/2014/main" id="{707D1880-1880-0C50-6865-FD4493B95E40}"/>
            </a:ext>
          </a:extLst>
        </xdr:cNvPr>
        <xdr:cNvSpPr/>
      </xdr:nvSpPr>
      <xdr:spPr>
        <a:xfrm>
          <a:off x="624840" y="1333500"/>
          <a:ext cx="6675120" cy="25146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lumMod val="75000"/>
                  <a:lumOff val="25000"/>
                </a:schemeClr>
              </a:solidFill>
            </a:rPr>
            <a:t>Best Region:</a:t>
          </a:r>
          <a:r>
            <a:rPr lang="en-IN" sz="1100" baseline="0">
              <a:solidFill>
                <a:schemeClr val="tx1">
                  <a:lumMod val="75000"/>
                  <a:lumOff val="25000"/>
                </a:schemeClr>
              </a:solidFill>
            </a:rPr>
            <a:t> </a:t>
          </a:r>
          <a:r>
            <a:rPr lang="en-IN" sz="1100" baseline="0">
              <a:solidFill>
                <a:schemeClr val="bg2">
                  <a:lumMod val="50000"/>
                </a:schemeClr>
              </a:solidFill>
            </a:rPr>
            <a:t>South </a:t>
          </a:r>
          <a:r>
            <a:rPr lang="en-IN" sz="1100" baseline="0"/>
            <a:t>       </a:t>
          </a:r>
          <a:r>
            <a:rPr lang="en-IN" sz="1100" baseline="0">
              <a:solidFill>
                <a:schemeClr val="tx1">
                  <a:lumMod val="75000"/>
                  <a:lumOff val="25000"/>
                </a:schemeClr>
              </a:solidFill>
            </a:rPr>
            <a:t>|</a:t>
          </a:r>
          <a:r>
            <a:rPr lang="en-IN" sz="1100" baseline="0"/>
            <a:t>        </a:t>
          </a:r>
          <a:r>
            <a:rPr lang="en-IN" sz="1100" baseline="0">
              <a:solidFill>
                <a:schemeClr val="tx1">
                  <a:lumMod val="85000"/>
                  <a:lumOff val="15000"/>
                </a:schemeClr>
              </a:solidFill>
            </a:rPr>
            <a:t>Best Category: </a:t>
          </a:r>
          <a:r>
            <a:rPr lang="en-IN" sz="1100" baseline="0">
              <a:solidFill>
                <a:schemeClr val="accent2">
                  <a:lumMod val="75000"/>
                </a:schemeClr>
              </a:solidFill>
            </a:rPr>
            <a:t>Electronics</a:t>
          </a:r>
          <a:r>
            <a:rPr lang="en-IN" sz="1100" baseline="0"/>
            <a:t>    </a:t>
          </a:r>
          <a:r>
            <a:rPr lang="en-IN" sz="1100" baseline="0">
              <a:solidFill>
                <a:schemeClr val="tx1">
                  <a:lumMod val="75000"/>
                  <a:lumOff val="25000"/>
                </a:schemeClr>
              </a:solidFill>
            </a:rPr>
            <a:t>|  </a:t>
          </a:r>
          <a:r>
            <a:rPr lang="en-IN" sz="1100" baseline="0"/>
            <a:t>  </a:t>
          </a:r>
          <a:r>
            <a:rPr lang="en-IN" sz="1100" baseline="0">
              <a:solidFill>
                <a:schemeClr val="tx1">
                  <a:lumMod val="75000"/>
                  <a:lumOff val="25000"/>
                </a:schemeClr>
              </a:solidFill>
            </a:rPr>
            <a:t>Top Product: </a:t>
          </a:r>
          <a:r>
            <a:rPr lang="en-IN" sz="1100" baseline="0">
              <a:solidFill>
                <a:schemeClr val="accent3">
                  <a:lumMod val="75000"/>
                </a:schemeClr>
              </a:solidFill>
            </a:rPr>
            <a:t>Laptop</a:t>
          </a:r>
          <a:r>
            <a:rPr lang="en-IN" sz="1100" baseline="0"/>
            <a:t>           </a:t>
          </a:r>
          <a:r>
            <a:rPr lang="en-IN" sz="1100" baseline="0">
              <a:solidFill>
                <a:schemeClr val="tx1">
                  <a:lumMod val="75000"/>
                  <a:lumOff val="25000"/>
                </a:schemeClr>
              </a:solidFill>
            </a:rPr>
            <a:t>|</a:t>
          </a:r>
          <a:r>
            <a:rPr lang="en-IN" sz="1100" baseline="0"/>
            <a:t>              </a:t>
          </a:r>
          <a:r>
            <a:rPr lang="en-IN" sz="1100" baseline="0">
              <a:solidFill>
                <a:schemeClr val="tx1">
                  <a:lumMod val="75000"/>
                  <a:lumOff val="25000"/>
                </a:schemeClr>
              </a:solidFill>
            </a:rPr>
            <a:t>Status: </a:t>
          </a:r>
          <a:r>
            <a:rPr lang="en-IN" sz="1100" baseline="0">
              <a:solidFill>
                <a:schemeClr val="accent3">
                  <a:lumMod val="50000"/>
                </a:schemeClr>
              </a:solidFill>
            </a:rPr>
            <a:t>Profit</a:t>
          </a:r>
          <a:r>
            <a:rPr lang="en-IN" sz="1100" baseline="0"/>
            <a:t>      </a:t>
          </a:r>
          <a:endParaRPr lang="en-IN" sz="1100"/>
        </a:p>
      </xdr:txBody>
    </xdr:sp>
    <xdr:clientData/>
  </xdr:twoCellAnchor>
  <xdr:twoCellAnchor>
    <xdr:from>
      <xdr:col>1</xdr:col>
      <xdr:colOff>22860</xdr:colOff>
      <xdr:row>9</xdr:row>
      <xdr:rowOff>0</xdr:rowOff>
    </xdr:from>
    <xdr:to>
      <xdr:col>12</xdr:col>
      <xdr:colOff>7620</xdr:colOff>
      <xdr:row>22</xdr:row>
      <xdr:rowOff>0</xdr:rowOff>
    </xdr:to>
    <xdr:graphicFrame macro="">
      <xdr:nvGraphicFramePr>
        <xdr:cNvPr id="8" name="Chart 7">
          <a:extLst>
            <a:ext uri="{FF2B5EF4-FFF2-40B4-BE49-F238E27FC236}">
              <a16:creationId xmlns:a16="http://schemas.microsoft.com/office/drawing/2014/main" id="{D3193E10-282E-4C37-8A93-0C8F09585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22</xdr:row>
      <xdr:rowOff>30480</xdr:rowOff>
    </xdr:from>
    <xdr:to>
      <xdr:col>6</xdr:col>
      <xdr:colOff>525780</xdr:colOff>
      <xdr:row>33</xdr:row>
      <xdr:rowOff>129540</xdr:rowOff>
    </xdr:to>
    <xdr:graphicFrame macro="">
      <xdr:nvGraphicFramePr>
        <xdr:cNvPr id="9" name="Chart 8">
          <a:extLst>
            <a:ext uri="{FF2B5EF4-FFF2-40B4-BE49-F238E27FC236}">
              <a16:creationId xmlns:a16="http://schemas.microsoft.com/office/drawing/2014/main" id="{FEE7E2B6-572C-49F3-AC5C-1A0A23C63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556260</xdr:colOff>
      <xdr:row>22</xdr:row>
      <xdr:rowOff>30480</xdr:rowOff>
    </xdr:from>
    <xdr:to>
      <xdr:col>12</xdr:col>
      <xdr:colOff>7620</xdr:colOff>
      <xdr:row>33</xdr:row>
      <xdr:rowOff>129540</xdr:rowOff>
    </xdr:to>
    <xdr:graphicFrame macro="">
      <xdr:nvGraphicFramePr>
        <xdr:cNvPr id="11" name="Chart 10">
          <a:extLst>
            <a:ext uri="{FF2B5EF4-FFF2-40B4-BE49-F238E27FC236}">
              <a16:creationId xmlns:a16="http://schemas.microsoft.com/office/drawing/2014/main" id="{F6C32529-62C3-4F70-8B77-C5E03CDF1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38100</xdr:colOff>
      <xdr:row>3</xdr:row>
      <xdr:rowOff>22860</xdr:rowOff>
    </xdr:from>
    <xdr:to>
      <xdr:col>14</xdr:col>
      <xdr:colOff>594360</xdr:colOff>
      <xdr:row>5</xdr:row>
      <xdr:rowOff>144780</xdr:rowOff>
    </xdr:to>
    <xdr:sp macro="" textlink="">
      <xdr:nvSpPr>
        <xdr:cNvPr id="12" name="Rectangle 11">
          <a:extLst>
            <a:ext uri="{FF2B5EF4-FFF2-40B4-BE49-F238E27FC236}">
              <a16:creationId xmlns:a16="http://schemas.microsoft.com/office/drawing/2014/main" id="{961CF4BC-5772-42DF-BAEF-0B254D063423}"/>
            </a:ext>
          </a:extLst>
        </xdr:cNvPr>
        <xdr:cNvSpPr/>
      </xdr:nvSpPr>
      <xdr:spPr>
        <a:xfrm>
          <a:off x="7353300" y="571500"/>
          <a:ext cx="1775460" cy="487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Best</a:t>
          </a:r>
        </a:p>
        <a:p>
          <a:pPr algn="l"/>
          <a:r>
            <a:rPr lang="en-IN" sz="1100" b="1" baseline="0">
              <a:solidFill>
                <a:schemeClr val="tx1"/>
              </a:solidFill>
            </a:rPr>
            <a:t>          </a:t>
          </a:r>
          <a:r>
            <a:rPr lang="en-IN" sz="1000" b="1" baseline="0">
              <a:solidFill>
                <a:schemeClr val="tx1"/>
              </a:solidFill>
            </a:rPr>
            <a:t>Region </a:t>
          </a:r>
          <a:r>
            <a:rPr lang="en-IN" sz="1200" b="1" baseline="0">
              <a:solidFill>
                <a:schemeClr val="tx1"/>
              </a:solidFill>
            </a:rPr>
            <a:t> </a:t>
          </a:r>
          <a:endParaRPr lang="en-IN" sz="1200">
            <a:solidFill>
              <a:schemeClr val="accent6">
                <a:lumMod val="75000"/>
              </a:schemeClr>
            </a:solidFill>
          </a:endParaRPr>
        </a:p>
      </xdr:txBody>
    </xdr:sp>
    <xdr:clientData/>
  </xdr:twoCellAnchor>
  <xdr:twoCellAnchor editAs="oneCell">
    <xdr:from>
      <xdr:col>13</xdr:col>
      <xdr:colOff>480060</xdr:colOff>
      <xdr:row>3</xdr:row>
      <xdr:rowOff>76200</xdr:rowOff>
    </xdr:from>
    <xdr:to>
      <xdr:col>14</xdr:col>
      <xdr:colOff>220980</xdr:colOff>
      <xdr:row>5</xdr:row>
      <xdr:rowOff>60960</xdr:rowOff>
    </xdr:to>
    <xdr:pic>
      <xdr:nvPicPr>
        <xdr:cNvPr id="14" name="Graphic 13" descr="Home">
          <a:extLst>
            <a:ext uri="{FF2B5EF4-FFF2-40B4-BE49-F238E27FC236}">
              <a16:creationId xmlns:a16="http://schemas.microsoft.com/office/drawing/2014/main" id="{85793797-13F7-6271-0065-C943EA0C84D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404860" y="624840"/>
          <a:ext cx="350520" cy="350520"/>
        </a:xfrm>
        <a:prstGeom prst="rect">
          <a:avLst/>
        </a:prstGeom>
      </xdr:spPr>
    </xdr:pic>
    <xdr:clientData/>
  </xdr:twoCellAnchor>
  <xdr:twoCellAnchor>
    <xdr:from>
      <xdr:col>12</xdr:col>
      <xdr:colOff>45720</xdr:colOff>
      <xdr:row>6</xdr:row>
      <xdr:rowOff>30480</xdr:rowOff>
    </xdr:from>
    <xdr:to>
      <xdr:col>15</xdr:col>
      <xdr:colOff>0</xdr:colOff>
      <xdr:row>10</xdr:row>
      <xdr:rowOff>160020</xdr:rowOff>
    </xdr:to>
    <xdr:sp macro="" textlink="">
      <xdr:nvSpPr>
        <xdr:cNvPr id="15" name="Rectangle 14">
          <a:extLst>
            <a:ext uri="{FF2B5EF4-FFF2-40B4-BE49-F238E27FC236}">
              <a16:creationId xmlns:a16="http://schemas.microsoft.com/office/drawing/2014/main" id="{C43AF72D-4493-4F9A-A8EB-7B04E1C0338B}"/>
            </a:ext>
          </a:extLst>
        </xdr:cNvPr>
        <xdr:cNvSpPr/>
      </xdr:nvSpPr>
      <xdr:spPr>
        <a:xfrm>
          <a:off x="7360920" y="1127760"/>
          <a:ext cx="1783080" cy="8610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Bes</a:t>
          </a:r>
          <a:r>
            <a:rPr lang="en-IN" sz="1200" b="1" baseline="0">
              <a:solidFill>
                <a:schemeClr val="tx1"/>
              </a:solidFill>
            </a:rPr>
            <a:t>t</a:t>
          </a:r>
        </a:p>
        <a:p>
          <a:pPr algn="l"/>
          <a:r>
            <a:rPr lang="en-IN" sz="1000" b="1" baseline="0">
              <a:solidFill>
                <a:schemeClr val="tx1"/>
              </a:solidFill>
            </a:rPr>
            <a:t>          Category</a:t>
          </a:r>
          <a:r>
            <a:rPr lang="en-IN" sz="1200" b="1" baseline="0">
              <a:solidFill>
                <a:schemeClr val="tx1"/>
              </a:solidFill>
            </a:rPr>
            <a:t>                         </a:t>
          </a:r>
        </a:p>
        <a:p>
          <a:pPr algn="l"/>
          <a:r>
            <a:rPr lang="en-IN" sz="1200" b="0" baseline="0">
              <a:solidFill>
                <a:schemeClr val="tx1">
                  <a:lumMod val="75000"/>
                  <a:lumOff val="25000"/>
                </a:schemeClr>
              </a:solidFill>
            </a:rPr>
            <a:t>      </a:t>
          </a:r>
        </a:p>
        <a:p>
          <a:pPr algn="l"/>
          <a:r>
            <a:rPr lang="en-IN" sz="1050" b="0" baseline="0">
              <a:solidFill>
                <a:schemeClr val="tx1">
                  <a:lumMod val="75000"/>
                  <a:lumOff val="25000"/>
                </a:schemeClr>
              </a:solidFill>
            </a:rPr>
            <a:t>          </a:t>
          </a:r>
          <a:r>
            <a:rPr lang="en-IN" sz="1050" b="1" baseline="0">
              <a:solidFill>
                <a:schemeClr val="tx1">
                  <a:lumMod val="75000"/>
                  <a:lumOff val="25000"/>
                </a:schemeClr>
              </a:solidFill>
            </a:rPr>
            <a:t>$</a:t>
          </a:r>
          <a:r>
            <a:rPr lang="en-IN" sz="1100" b="1" baseline="0">
              <a:solidFill>
                <a:schemeClr val="tx1">
                  <a:lumMod val="75000"/>
                  <a:lumOff val="25000"/>
                </a:schemeClr>
              </a:solidFill>
            </a:rPr>
            <a:t> PROFIT</a:t>
          </a:r>
        </a:p>
        <a:p>
          <a:pPr algn="l"/>
          <a:endParaRPr lang="en-IN" sz="1200" b="1" baseline="0">
            <a:solidFill>
              <a:schemeClr val="tx1"/>
            </a:solidFill>
          </a:endParaRPr>
        </a:p>
      </xdr:txBody>
    </xdr:sp>
    <xdr:clientData/>
  </xdr:twoCellAnchor>
  <xdr:twoCellAnchor editAs="oneCell">
    <xdr:from>
      <xdr:col>13</xdr:col>
      <xdr:colOff>464820</xdr:colOff>
      <xdr:row>6</xdr:row>
      <xdr:rowOff>53340</xdr:rowOff>
    </xdr:from>
    <xdr:to>
      <xdr:col>14</xdr:col>
      <xdr:colOff>198120</xdr:colOff>
      <xdr:row>8</xdr:row>
      <xdr:rowOff>30480</xdr:rowOff>
    </xdr:to>
    <xdr:pic>
      <xdr:nvPicPr>
        <xdr:cNvPr id="17" name="Graphic 16" descr="Store">
          <a:extLst>
            <a:ext uri="{FF2B5EF4-FFF2-40B4-BE49-F238E27FC236}">
              <a16:creationId xmlns:a16="http://schemas.microsoft.com/office/drawing/2014/main" id="{1A096129-1702-3717-EAC9-B19A2FD01C6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389620" y="1150620"/>
          <a:ext cx="342900" cy="342900"/>
        </a:xfrm>
        <a:prstGeom prst="rect">
          <a:avLst/>
        </a:prstGeom>
      </xdr:spPr>
    </xdr:pic>
    <xdr:clientData/>
  </xdr:twoCellAnchor>
  <xdr:twoCellAnchor>
    <xdr:from>
      <xdr:col>12</xdr:col>
      <xdr:colOff>205740</xdr:colOff>
      <xdr:row>8</xdr:row>
      <xdr:rowOff>114300</xdr:rowOff>
    </xdr:from>
    <xdr:to>
      <xdr:col>14</xdr:col>
      <xdr:colOff>480060</xdr:colOff>
      <xdr:row>8</xdr:row>
      <xdr:rowOff>121920</xdr:rowOff>
    </xdr:to>
    <xdr:cxnSp macro="">
      <xdr:nvCxnSpPr>
        <xdr:cNvPr id="19" name="Straight Connector 18">
          <a:extLst>
            <a:ext uri="{FF2B5EF4-FFF2-40B4-BE49-F238E27FC236}">
              <a16:creationId xmlns:a16="http://schemas.microsoft.com/office/drawing/2014/main" id="{F03FB562-E022-C910-1E08-8C78984D8D07}"/>
            </a:ext>
          </a:extLst>
        </xdr:cNvPr>
        <xdr:cNvCxnSpPr/>
      </xdr:nvCxnSpPr>
      <xdr:spPr>
        <a:xfrm flipH="1" flipV="1">
          <a:off x="7520940" y="1577340"/>
          <a:ext cx="1493520" cy="762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editAs="oneCell">
    <xdr:from>
      <xdr:col>12</xdr:col>
      <xdr:colOff>22860</xdr:colOff>
      <xdr:row>26</xdr:row>
      <xdr:rowOff>83821</xdr:rowOff>
    </xdr:from>
    <xdr:to>
      <xdr:col>14</xdr:col>
      <xdr:colOff>586740</xdr:colOff>
      <xdr:row>33</xdr:row>
      <xdr:rowOff>137160</xdr:rowOff>
    </xdr:to>
    <mc:AlternateContent xmlns:mc="http://schemas.openxmlformats.org/markup-compatibility/2006" xmlns:a14="http://schemas.microsoft.com/office/drawing/2010/main">
      <mc:Choice Requires="a14">
        <xdr:graphicFrame macro="">
          <xdr:nvGraphicFramePr>
            <xdr:cNvPr id="13" name="Customer_Type">
              <a:extLst>
                <a:ext uri="{FF2B5EF4-FFF2-40B4-BE49-F238E27FC236}">
                  <a16:creationId xmlns:a16="http://schemas.microsoft.com/office/drawing/2014/main" id="{4F7D3F74-EAB5-1903-9F60-55687381A9FD}"/>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7338060" y="4838701"/>
              <a:ext cx="178308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11</xdr:row>
      <xdr:rowOff>45721</xdr:rowOff>
    </xdr:from>
    <xdr:to>
      <xdr:col>14</xdr:col>
      <xdr:colOff>601980</xdr:colOff>
      <xdr:row>18</xdr:row>
      <xdr:rowOff>129540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F04F9515-21D5-7ADA-6A07-594793DCD7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38060" y="2057401"/>
              <a:ext cx="179832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18</xdr:row>
      <xdr:rowOff>175261</xdr:rowOff>
    </xdr:from>
    <xdr:to>
      <xdr:col>14</xdr:col>
      <xdr:colOff>594360</xdr:colOff>
      <xdr:row>26</xdr:row>
      <xdr:rowOff>7620</xdr:rowOff>
    </xdr:to>
    <mc:AlternateContent xmlns:mc="http://schemas.openxmlformats.org/markup-compatibility/2006" xmlns:a14="http://schemas.microsoft.com/office/drawing/2010/main">
      <mc:Choice Requires="a14">
        <xdr:graphicFrame macro="">
          <xdr:nvGraphicFramePr>
            <xdr:cNvPr id="18" name="Product_Category">
              <a:extLst>
                <a:ext uri="{FF2B5EF4-FFF2-40B4-BE49-F238E27FC236}">
                  <a16:creationId xmlns:a16="http://schemas.microsoft.com/office/drawing/2014/main" id="{E7A26779-413A-5EDF-1692-75ACD0E0AB6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7338060" y="3467101"/>
              <a:ext cx="179070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0.11218</cdr:y>
    </cdr:from>
    <cdr:to>
      <cdr:x>1</cdr:x>
      <cdr:y>0.11538</cdr:y>
    </cdr:to>
    <cdr:cxnSp macro="">
      <cdr:nvCxnSpPr>
        <cdr:cNvPr id="2" name="Straight Connector 1">
          <a:extLst xmlns:a="http://schemas.openxmlformats.org/drawingml/2006/main">
            <a:ext uri="{FF2B5EF4-FFF2-40B4-BE49-F238E27FC236}">
              <a16:creationId xmlns:a16="http://schemas.microsoft.com/office/drawing/2014/main" id="{0398C34A-DE44-5AAD-231A-8EFFCF90B127}"/>
            </a:ext>
          </a:extLst>
        </cdr:cNvPr>
        <cdr:cNvCxnSpPr/>
      </cdr:nvCxnSpPr>
      <cdr:spPr>
        <a:xfrm xmlns:a="http://schemas.openxmlformats.org/drawingml/2006/main">
          <a:off x="0" y="266700"/>
          <a:ext cx="6690360" cy="7620"/>
        </a:xfrm>
        <a:prstGeom xmlns:a="http://schemas.openxmlformats.org/drawingml/2006/main" prst="line">
          <a:avLst/>
        </a:prstGeom>
        <a:ln xmlns:a="http://schemas.openxmlformats.org/drawingml/2006/main">
          <a:solidFill>
            <a:schemeClr val="tx1">
              <a:lumMod val="50000"/>
              <a:lumOff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cdr:x>
      <cdr:y>0.00641</cdr:y>
    </cdr:from>
    <cdr:to>
      <cdr:x>1</cdr:x>
      <cdr:y>0.11859</cdr:y>
    </cdr:to>
    <cdr:sp macro="" textlink="">
      <cdr:nvSpPr>
        <cdr:cNvPr id="5" name="Rectangle 4">
          <a:extLst xmlns:a="http://schemas.openxmlformats.org/drawingml/2006/main">
            <a:ext uri="{FF2B5EF4-FFF2-40B4-BE49-F238E27FC236}">
              <a16:creationId xmlns:a16="http://schemas.microsoft.com/office/drawing/2014/main" id="{F786B689-6D11-6907-ABA6-245C20CCCC63}"/>
            </a:ext>
          </a:extLst>
        </cdr:cNvPr>
        <cdr:cNvSpPr/>
      </cdr:nvSpPr>
      <cdr:spPr>
        <a:xfrm xmlns:a="http://schemas.openxmlformats.org/drawingml/2006/main">
          <a:off x="0" y="15240"/>
          <a:ext cx="6690360" cy="266700"/>
        </a:xfrm>
        <a:prstGeom xmlns:a="http://schemas.openxmlformats.org/drawingml/2006/main" prst="rect">
          <a:avLst/>
        </a:prstGeom>
        <a:solidFill xmlns:a="http://schemas.openxmlformats.org/drawingml/2006/main">
          <a:schemeClr val="accent3">
            <a:lumMod val="20000"/>
            <a:lumOff val="8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kern="1200">
              <a:solidFill>
                <a:schemeClr val="tx1">
                  <a:lumMod val="65000"/>
                  <a:lumOff val="35000"/>
                </a:schemeClr>
              </a:solidFill>
            </a:rPr>
            <a:t>South</a:t>
          </a:r>
          <a:r>
            <a:rPr lang="en-IN" kern="1200" baseline="0">
              <a:solidFill>
                <a:schemeClr val="tx1">
                  <a:lumMod val="65000"/>
                  <a:lumOff val="35000"/>
                </a:schemeClr>
              </a:solidFill>
            </a:rPr>
            <a:t> Region Leads,East Underperforms</a:t>
          </a:r>
          <a:endParaRPr lang="en-IN" kern="1200">
            <a:solidFill>
              <a:schemeClr val="tx1">
                <a:lumMod val="65000"/>
                <a:lumOff val="35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0.01856</cdr:x>
      <cdr:y>0.15238</cdr:y>
    </cdr:from>
    <cdr:to>
      <cdr:x>1</cdr:x>
      <cdr:y>0.15357</cdr:y>
    </cdr:to>
    <cdr:cxnSp macro="">
      <cdr:nvCxnSpPr>
        <cdr:cNvPr id="2" name="Straight Connector 1">
          <a:extLst xmlns:a="http://schemas.openxmlformats.org/drawingml/2006/main">
            <a:ext uri="{FF2B5EF4-FFF2-40B4-BE49-F238E27FC236}">
              <a16:creationId xmlns:a16="http://schemas.microsoft.com/office/drawing/2014/main" id="{CCD09FE7-EA4A-1E88-C40E-CD663B60CAAA}"/>
            </a:ext>
          </a:extLst>
        </cdr:cNvPr>
        <cdr:cNvCxnSpPr/>
      </cdr:nvCxnSpPr>
      <cdr:spPr>
        <a:xfrm xmlns:a="http://schemas.openxmlformats.org/drawingml/2006/main">
          <a:off x="66040" y="325120"/>
          <a:ext cx="3492500" cy="2540"/>
        </a:xfrm>
        <a:prstGeom xmlns:a="http://schemas.openxmlformats.org/drawingml/2006/main" prst="line">
          <a:avLst/>
        </a:prstGeom>
        <a:ln xmlns:a="http://schemas.openxmlformats.org/drawingml/2006/main">
          <a:solidFill>
            <a:schemeClr val="tx1">
              <a:lumMod val="50000"/>
              <a:lumOff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cdr:x>
      <cdr:y>0</cdr:y>
    </cdr:from>
    <cdr:to>
      <cdr:x>1</cdr:x>
      <cdr:y>0.16368</cdr:y>
    </cdr:to>
    <cdr:sp macro="" textlink="">
      <cdr:nvSpPr>
        <cdr:cNvPr id="6" name="Rectangle 5">
          <a:extLst xmlns:a="http://schemas.openxmlformats.org/drawingml/2006/main">
            <a:ext uri="{FF2B5EF4-FFF2-40B4-BE49-F238E27FC236}">
              <a16:creationId xmlns:a16="http://schemas.microsoft.com/office/drawing/2014/main" id="{4104EFC3-5F8E-8163-7CF2-D273684B6C1F}"/>
            </a:ext>
          </a:extLst>
        </cdr:cNvPr>
        <cdr:cNvSpPr/>
      </cdr:nvSpPr>
      <cdr:spPr>
        <a:xfrm xmlns:a="http://schemas.openxmlformats.org/drawingml/2006/main">
          <a:off x="0" y="0"/>
          <a:ext cx="3566160" cy="345488"/>
        </a:xfrm>
        <a:prstGeom xmlns:a="http://schemas.openxmlformats.org/drawingml/2006/main" prst="rect">
          <a:avLst/>
        </a:prstGeom>
        <a:solidFill xmlns:a="http://schemas.openxmlformats.org/drawingml/2006/main">
          <a:schemeClr val="accent3">
            <a:lumMod val="20000"/>
            <a:lumOff val="8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kern="1200">
              <a:solidFill>
                <a:schemeClr val="tx1">
                  <a:lumMod val="65000"/>
                  <a:lumOff val="35000"/>
                </a:schemeClr>
              </a:solidFill>
            </a:rPr>
            <a:t>Electronics Generate</a:t>
          </a:r>
          <a:r>
            <a:rPr lang="en-IN" kern="1200" baseline="0">
              <a:solidFill>
                <a:schemeClr val="tx1">
                  <a:lumMod val="65000"/>
                  <a:lumOff val="35000"/>
                </a:schemeClr>
              </a:solidFill>
            </a:rPr>
            <a:t> Highest Profit </a:t>
          </a:r>
          <a:endParaRPr lang="en-IN" kern="1200">
            <a:solidFill>
              <a:schemeClr val="tx1">
                <a:lumMod val="65000"/>
                <a:lumOff val="35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0.15714</cdr:y>
    </cdr:from>
    <cdr:to>
      <cdr:x>1</cdr:x>
      <cdr:y>0.15714</cdr:y>
    </cdr:to>
    <cdr:cxnSp macro="">
      <cdr:nvCxnSpPr>
        <cdr:cNvPr id="3" name="Straight Connector 2">
          <a:extLst xmlns:a="http://schemas.openxmlformats.org/drawingml/2006/main">
            <a:ext uri="{FF2B5EF4-FFF2-40B4-BE49-F238E27FC236}">
              <a16:creationId xmlns:a16="http://schemas.microsoft.com/office/drawing/2014/main" id="{4974EA9E-0E71-9328-C466-48C69320805B}"/>
            </a:ext>
          </a:extLst>
        </cdr:cNvPr>
        <cdr:cNvCxnSpPr/>
      </cdr:nvCxnSpPr>
      <cdr:spPr>
        <a:xfrm xmlns:a="http://schemas.openxmlformats.org/drawingml/2006/main">
          <a:off x="0" y="335280"/>
          <a:ext cx="3116580" cy="0"/>
        </a:xfrm>
        <a:prstGeom xmlns:a="http://schemas.openxmlformats.org/drawingml/2006/main" prst="line">
          <a:avLst/>
        </a:prstGeom>
        <a:ln xmlns:a="http://schemas.openxmlformats.org/drawingml/2006/main">
          <a:solidFill>
            <a:schemeClr val="tx1">
              <a:lumMod val="50000"/>
              <a:lumOff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cdr:x>
      <cdr:y>0</cdr:y>
    </cdr:from>
    <cdr:to>
      <cdr:x>1</cdr:x>
      <cdr:y>0.16786</cdr:y>
    </cdr:to>
    <cdr:sp macro="" textlink="">
      <cdr:nvSpPr>
        <cdr:cNvPr id="2" name="Rectangle 1">
          <a:extLst xmlns:a="http://schemas.openxmlformats.org/drawingml/2006/main">
            <a:ext uri="{FF2B5EF4-FFF2-40B4-BE49-F238E27FC236}">
              <a16:creationId xmlns:a16="http://schemas.microsoft.com/office/drawing/2014/main" id="{4259E997-DE9E-03CA-0A6A-E4F19C519699}"/>
            </a:ext>
          </a:extLst>
        </cdr:cNvPr>
        <cdr:cNvSpPr/>
      </cdr:nvSpPr>
      <cdr:spPr>
        <a:xfrm xmlns:a="http://schemas.openxmlformats.org/drawingml/2006/main">
          <a:off x="0" y="0"/>
          <a:ext cx="3108960" cy="354303"/>
        </a:xfrm>
        <a:prstGeom xmlns:a="http://schemas.openxmlformats.org/drawingml/2006/main" prst="rect">
          <a:avLst/>
        </a:prstGeom>
        <a:solidFill xmlns:a="http://schemas.openxmlformats.org/drawingml/2006/main">
          <a:schemeClr val="accent3">
            <a:lumMod val="20000"/>
            <a:lumOff val="8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kern="1200">
              <a:solidFill>
                <a:schemeClr val="tx1">
                  <a:lumMod val="65000"/>
                  <a:lumOff val="35000"/>
                </a:schemeClr>
              </a:solidFill>
            </a:rPr>
            <a:t>Corporate</a:t>
          </a:r>
          <a:r>
            <a:rPr lang="en-IN" kern="1200" baseline="0">
              <a:solidFill>
                <a:schemeClr val="tx1">
                  <a:lumMod val="65000"/>
                  <a:lumOff val="35000"/>
                </a:schemeClr>
              </a:solidFill>
            </a:rPr>
            <a:t> Customers Drive Revenue </a:t>
          </a:r>
          <a:endParaRPr lang="en-IN" kern="1200">
            <a:solidFill>
              <a:schemeClr val="tx1">
                <a:lumMod val="65000"/>
                <a:lumOff val="3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4.68092835648" createdVersion="8" refreshedVersion="8" minRefreshableVersion="3" recordCount="25" xr:uid="{12076C5F-A1A7-40C0-9B90-00E23D3DA2A1}">
  <cacheSource type="worksheet">
    <worksheetSource name="Table1[[Customer_ID]:[profit _margin%]]"/>
  </cacheSource>
  <cacheFields count="15">
    <cacheField name="Customer_ID" numFmtId="0">
      <sharedItems/>
    </cacheField>
    <cacheField name="Customer_Type" numFmtId="0">
      <sharedItems count="3">
        <s v="Retail"/>
        <s v="Corporate"/>
        <s v="Wholesale"/>
      </sharedItems>
    </cacheField>
    <cacheField name="Region" numFmtId="0">
      <sharedItems count="4">
        <s v="South"/>
        <s v="North"/>
        <s v="West"/>
        <s v="East"/>
      </sharedItems>
    </cacheField>
    <cacheField name="State" numFmtId="0">
      <sharedItems/>
    </cacheField>
    <cacheField name="Product_Category" numFmtId="0">
      <sharedItems count="3">
        <s v="Electronics"/>
        <s v="Furniture"/>
        <s v="Appliances"/>
      </sharedItems>
    </cacheField>
    <cacheField name="Product_Name" numFmtId="0">
      <sharedItems/>
    </cacheField>
    <cacheField name="Unit_Price" numFmtId="0">
      <sharedItems containsSemiMixedTypes="0" containsString="0" containsNumber="1" containsInteger="1" minValue="1300" maxValue="57000"/>
    </cacheField>
    <cacheField name="Quantity" numFmtId="0">
      <sharedItems containsSemiMixedTypes="0" containsString="0" containsNumber="1" containsInteger="1" minValue="1" maxValue="4"/>
    </cacheField>
    <cacheField name="Discount_%" numFmtId="0">
      <sharedItems containsSemiMixedTypes="0" containsString="0" containsNumber="1" containsInteger="1" minValue="5" maxValue="15"/>
    </cacheField>
    <cacheField name="Cost_Price" numFmtId="0">
      <sharedItems containsSemiMixedTypes="0" containsString="0" containsNumber="1" containsInteger="1" minValue="800" maxValue="49000"/>
    </cacheField>
    <cacheField name="sales" numFmtId="0">
      <sharedItems containsSemiMixedTypes="0" containsString="0" containsNumber="1" containsInteger="1" minValue="3000" maxValue="57000"/>
    </cacheField>
    <cacheField name="disount_amount" numFmtId="0">
      <sharedItems containsSemiMixedTypes="0" containsString="0" containsNumber="1" containsInteger="1" minValue="150" maxValue="5600"/>
    </cacheField>
    <cacheField name="net_sales" numFmtId="0">
      <sharedItems containsSemiMixedTypes="0" containsString="0" containsNumber="1" containsInteger="1" minValue="2850" maxValue="51870"/>
    </cacheField>
    <cacheField name="profit" numFmtId="0">
      <sharedItems containsSemiMixedTypes="0" containsString="0" containsNumber="1" containsInteger="1" minValue="840" maxValue="4900"/>
    </cacheField>
    <cacheField name="profit _margin%" numFmtId="1">
      <sharedItems containsSemiMixedTypes="0" containsString="0" containsNumber="1" minValue="2.2198731501057085" maxValue="35.222672064777328"/>
    </cacheField>
  </cacheFields>
  <extLst>
    <ext xmlns:x14="http://schemas.microsoft.com/office/spreadsheetml/2009/9/main" uri="{725AE2AE-9491-48be-B2B4-4EB974FC3084}">
      <x14:pivotCacheDefinition pivotCacheId="236161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C101"/>
    <x v="0"/>
    <x v="0"/>
    <s v="Telangana"/>
    <x v="0"/>
    <s v="Bluetooth Speaker"/>
    <n v="1500"/>
    <n v="2"/>
    <n v="5"/>
    <n v="1000"/>
    <n v="3000"/>
    <n v="150"/>
    <n v="2850"/>
    <n v="850"/>
    <n v="29.82456140350877"/>
  </r>
  <r>
    <s v="C102"/>
    <x v="1"/>
    <x v="1"/>
    <s v="Delhi"/>
    <x v="0"/>
    <s v="Laptop"/>
    <n v="56000"/>
    <n v="1"/>
    <n v="10"/>
    <n v="48000"/>
    <n v="56000"/>
    <n v="5600"/>
    <n v="50400"/>
    <n v="2400"/>
    <n v="4.7619047619047619"/>
  </r>
  <r>
    <s v="C103"/>
    <x v="2"/>
    <x v="2"/>
    <s v="Maharashtra"/>
    <x v="1"/>
    <s v="Office Chair"/>
    <n v="3600"/>
    <n v="4"/>
    <n v="8"/>
    <n v="2600"/>
    <n v="14400"/>
    <n v="1152"/>
    <n v="13248"/>
    <n v="2848"/>
    <n v="21.497584541062803"/>
  </r>
  <r>
    <s v="C104"/>
    <x v="0"/>
    <x v="3"/>
    <s v="Odisha"/>
    <x v="2"/>
    <s v="Mixer Grinder"/>
    <n v="2900"/>
    <n v="2"/>
    <n v="6"/>
    <n v="2100"/>
    <n v="5800"/>
    <n v="348"/>
    <n v="5452"/>
    <n v="1252"/>
    <n v="22.964049889948644"/>
  </r>
  <r>
    <s v="C105"/>
    <x v="1"/>
    <x v="0"/>
    <s v="Tamil Nadu"/>
    <x v="0"/>
    <s v="Monitor"/>
    <n v="12500"/>
    <n v="2"/>
    <n v="12"/>
    <n v="9500"/>
    <n v="25000"/>
    <n v="3000"/>
    <n v="22000"/>
    <n v="3000"/>
    <n v="13.636363636363635"/>
  </r>
  <r>
    <s v="C106"/>
    <x v="0"/>
    <x v="0"/>
    <s v="Karnataka"/>
    <x v="1"/>
    <s v="Study Table"/>
    <n v="6200"/>
    <n v="1"/>
    <n v="5"/>
    <n v="4300"/>
    <n v="6200"/>
    <n v="310"/>
    <n v="5890"/>
    <n v="1590"/>
    <n v="26.99490662139219"/>
  </r>
  <r>
    <s v="C107"/>
    <x v="2"/>
    <x v="1"/>
    <s v="Punjab"/>
    <x v="2"/>
    <s v="Water Purifier"/>
    <n v="15500"/>
    <n v="2"/>
    <n v="10"/>
    <n v="11500"/>
    <n v="31000"/>
    <n v="3100"/>
    <n v="27900"/>
    <n v="4900"/>
    <n v="17.562724014336915"/>
  </r>
  <r>
    <s v="C108"/>
    <x v="0"/>
    <x v="2"/>
    <s v="Gujarat"/>
    <x v="0"/>
    <s v="Power Bank"/>
    <n v="1300"/>
    <n v="3"/>
    <n v="5"/>
    <n v="800"/>
    <n v="3900"/>
    <n v="195"/>
    <n v="3705"/>
    <n v="1305"/>
    <n v="35.222672064777328"/>
  </r>
  <r>
    <s v="C109"/>
    <x v="1"/>
    <x v="3"/>
    <s v="West Bengal"/>
    <x v="1"/>
    <s v="Conference Table"/>
    <n v="26000"/>
    <n v="1"/>
    <n v="15"/>
    <n v="19500"/>
    <n v="26000"/>
    <n v="3900"/>
    <n v="22100"/>
    <n v="2600"/>
    <n v="11.76470588235294"/>
  </r>
  <r>
    <s v="C110"/>
    <x v="0"/>
    <x v="0"/>
    <s v="Andhra Pradesh"/>
    <x v="2"/>
    <s v="Induction Stove"/>
    <n v="3300"/>
    <n v="2"/>
    <n v="5"/>
    <n v="2400"/>
    <n v="6600"/>
    <n v="330"/>
    <n v="6270"/>
    <n v="1470"/>
    <n v="23.444976076555022"/>
  </r>
  <r>
    <s v="C111"/>
    <x v="2"/>
    <x v="2"/>
    <s v="Maharashtra"/>
    <x v="0"/>
    <s v="Router"/>
    <n v="3000"/>
    <n v="3"/>
    <n v="7"/>
    <n v="2100"/>
    <n v="9000"/>
    <n v="630"/>
    <n v="8370"/>
    <n v="2070"/>
    <n v="24.731182795698924"/>
  </r>
  <r>
    <s v="C112"/>
    <x v="1"/>
    <x v="1"/>
    <s v="Haryana"/>
    <x v="0"/>
    <s v="Printer"/>
    <n v="9800"/>
    <n v="2"/>
    <n v="10"/>
    <n v="7500"/>
    <n v="19600"/>
    <n v="1960"/>
    <n v="17640"/>
    <n v="2640"/>
    <n v="14.965986394557824"/>
  </r>
  <r>
    <s v="C113"/>
    <x v="0"/>
    <x v="3"/>
    <s v="Assam"/>
    <x v="2"/>
    <s v="Electric Kettle"/>
    <n v="1900"/>
    <n v="3"/>
    <n v="5"/>
    <n v="1300"/>
    <n v="5700"/>
    <n v="285"/>
    <n v="5415"/>
    <n v="1515"/>
    <n v="27.977839335180054"/>
  </r>
  <r>
    <s v="C114"/>
    <x v="2"/>
    <x v="0"/>
    <s v="Kerala"/>
    <x v="1"/>
    <s v="Wooden Shelf"/>
    <n v="7800"/>
    <n v="2"/>
    <n v="8"/>
    <n v="5600"/>
    <n v="15600"/>
    <n v="1248"/>
    <n v="14352"/>
    <n v="3152"/>
    <n v="21.962095875139354"/>
  </r>
  <r>
    <s v="C115"/>
    <x v="0"/>
    <x v="2"/>
    <s v="Rajasthan"/>
    <x v="0"/>
    <s v="Smart Watch"/>
    <n v="5200"/>
    <n v="1"/>
    <n v="6"/>
    <n v="3700"/>
    <n v="5200"/>
    <n v="312"/>
    <n v="4888"/>
    <n v="1188"/>
    <n v="24.304418985270047"/>
  </r>
  <r>
    <s v="C116"/>
    <x v="1"/>
    <x v="0"/>
    <s v="Telangana"/>
    <x v="2"/>
    <s v="AC"/>
    <n v="43000"/>
    <n v="1"/>
    <n v="12"/>
    <n v="37000"/>
    <n v="43000"/>
    <n v="5160"/>
    <n v="37840"/>
    <n v="840"/>
    <n v="2.2198731501057085"/>
  </r>
  <r>
    <s v="C117"/>
    <x v="2"/>
    <x v="3"/>
    <s v="Bihar"/>
    <x v="1"/>
    <s v="Steel Rack"/>
    <n v="9200"/>
    <n v="2"/>
    <n v="10"/>
    <n v="6700"/>
    <n v="18400"/>
    <n v="1840"/>
    <n v="16560"/>
    <n v="3160"/>
    <n v="19.082125603864732"/>
  </r>
  <r>
    <s v="C118"/>
    <x v="0"/>
    <x v="1"/>
    <s v="UP"/>
    <x v="0"/>
    <s v="Earbuds"/>
    <n v="2600"/>
    <n v="2"/>
    <n v="5"/>
    <n v="1700"/>
    <n v="5200"/>
    <n v="260"/>
    <n v="4940"/>
    <n v="1540"/>
    <n v="31.174089068825911"/>
  </r>
  <r>
    <s v="C119"/>
    <x v="1"/>
    <x v="2"/>
    <s v="MP"/>
    <x v="2"/>
    <s v="Refrigerator"/>
    <n v="39000"/>
    <n v="1"/>
    <n v="10"/>
    <n v="33000"/>
    <n v="39000"/>
    <n v="3900"/>
    <n v="35100"/>
    <n v="2100"/>
    <n v="5.982905982905983"/>
  </r>
  <r>
    <s v="C120"/>
    <x v="0"/>
    <x v="0"/>
    <s v="Karnataka"/>
    <x v="0"/>
    <s v="Tablet"/>
    <n v="18500"/>
    <n v="1"/>
    <n v="7"/>
    <n v="14500"/>
    <n v="18500"/>
    <n v="1295"/>
    <n v="17205"/>
    <n v="2705"/>
    <n v="15.722173786689916"/>
  </r>
  <r>
    <s v="C121"/>
    <x v="0"/>
    <x v="0"/>
    <s v="Telangana"/>
    <x v="0"/>
    <s v="Smart TV"/>
    <n v="42000"/>
    <n v="1"/>
    <n v="8"/>
    <n v="36000"/>
    <n v="42000"/>
    <n v="3360"/>
    <n v="38640"/>
    <n v="2640"/>
    <n v="6.8322981366459627"/>
  </r>
  <r>
    <s v="C122"/>
    <x v="1"/>
    <x v="1"/>
    <s v="Delhi"/>
    <x v="0"/>
    <s v="Laptop"/>
    <n v="57000"/>
    <n v="1"/>
    <n v="9"/>
    <n v="49000"/>
    <n v="57000"/>
    <n v="5130"/>
    <n v="51870"/>
    <n v="2870"/>
    <n v="5.5330634278002702"/>
  </r>
  <r>
    <s v="C123"/>
    <x v="2"/>
    <x v="2"/>
    <s v="Maharashtra"/>
    <x v="1"/>
    <s v="Office Desk"/>
    <n v="9000"/>
    <n v="2"/>
    <n v="10"/>
    <n v="6500"/>
    <n v="18000"/>
    <n v="1800"/>
    <n v="16200"/>
    <n v="3200"/>
    <n v="19.753086419753085"/>
  </r>
  <r>
    <s v="C124"/>
    <x v="0"/>
    <x v="3"/>
    <s v="Odisha"/>
    <x v="2"/>
    <s v="Microwave Oven"/>
    <n v="12000"/>
    <n v="1"/>
    <n v="7"/>
    <n v="9000"/>
    <n v="12000"/>
    <n v="840"/>
    <n v="11160"/>
    <n v="2160"/>
    <n v="19.35483870967742"/>
  </r>
  <r>
    <s v="C125"/>
    <x v="1"/>
    <x v="0"/>
    <s v="Tamil Nadu"/>
    <x v="0"/>
    <s v="Server Monitor"/>
    <n v="18000"/>
    <n v="2"/>
    <n v="12"/>
    <n v="14000"/>
    <n v="36000"/>
    <n v="4320"/>
    <n v="31680"/>
    <n v="3680"/>
    <n v="11.6161616161616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88C22B-5D31-4228-84DF-F22FBC0B02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3:D27" firstHeaderRow="1" firstDataRow="1" firstDataCol="1"/>
  <pivotFields count="15">
    <pivotField showAll="0"/>
    <pivotField showAll="0"/>
    <pivotField showAll="0">
      <items count="5">
        <item x="3"/>
        <item x="1"/>
        <item x="0"/>
        <item x="2"/>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numFmtId="1" showAll="0"/>
  </pivotFields>
  <rowFields count="1">
    <field x="4"/>
  </rowFields>
  <rowItems count="4">
    <i>
      <x/>
    </i>
    <i>
      <x v="1"/>
    </i>
    <i>
      <x v="2"/>
    </i>
    <i t="grand">
      <x/>
    </i>
  </rowItems>
  <colItems count="1">
    <i/>
  </colItems>
  <dataFields count="1">
    <dataField name="Sum of profit" fld="13"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818281-2B03-42B6-AEA0-71C4A5EE0D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18">
  <location ref="C10:D15" firstHeaderRow="1" firstDataRow="1" firstDataCol="1"/>
  <pivotFields count="15">
    <pivotField showAll="0"/>
    <pivotField showAll="0">
      <items count="4">
        <item x="1"/>
        <item x="0"/>
        <item x="2"/>
        <item t="default"/>
      </items>
    </pivotField>
    <pivotField axis="axisRow" showAll="0">
      <items count="5">
        <item x="3"/>
        <item x="1"/>
        <item x="0"/>
        <item x="2"/>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numFmtId="1" showAll="0"/>
  </pivotFields>
  <rowFields count="1">
    <field x="2"/>
  </rowFields>
  <rowItems count="5">
    <i>
      <x/>
    </i>
    <i>
      <x v="1"/>
    </i>
    <i>
      <x v="2"/>
    </i>
    <i>
      <x v="3"/>
    </i>
    <i t="grand">
      <x/>
    </i>
  </rowItems>
  <colItems count="1">
    <i/>
  </colItems>
  <dataFields count="1">
    <dataField name="Sum of net_sales" fld="12" baseField="0" baseItem="0"/>
  </dataFields>
  <chartFormats count="1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3"/>
          </reference>
        </references>
      </pivotArea>
    </chartFormat>
    <chartFormat chart="7" format="3"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2"/>
          </reference>
        </references>
      </pivotArea>
    </chartFormat>
    <chartFormat chart="7" format="5" series="1">
      <pivotArea type="data" outline="0" fieldPosition="0">
        <references count="2">
          <reference field="4294967294" count="1" selected="0">
            <x v="0"/>
          </reference>
          <reference field="2" count="1" selected="0">
            <x v="3"/>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2"/>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CCDCD2-52E7-47AE-8D3A-BCEC44D914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36:D40" firstHeaderRow="1" firstDataRow="1" firstDataCol="1"/>
  <pivotFields count="15">
    <pivotField showAll="0"/>
    <pivotField axis="axisRow" showAll="0">
      <items count="4">
        <item x="1"/>
        <item x="0"/>
        <item x="2"/>
        <item t="default"/>
      </items>
    </pivotField>
    <pivotField showAll="0">
      <items count="5">
        <item x="3"/>
        <item x="1"/>
        <item x="0"/>
        <item x="2"/>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numFmtId="1" showAll="0"/>
  </pivotFields>
  <rowFields count="1">
    <field x="1"/>
  </rowFields>
  <rowItems count="4">
    <i>
      <x/>
    </i>
    <i>
      <x v="1"/>
    </i>
    <i>
      <x v="2"/>
    </i>
    <i t="grand">
      <x/>
    </i>
  </rowItems>
  <colItems count="1">
    <i/>
  </colItems>
  <dataFields count="1">
    <dataField name="Sum of net_sales" fld="1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391447F-472F-4719-8C75-098AE95A7FE9}" sourceName="Customer_Type">
  <pivotTables>
    <pivotTable tabId="2" name="PivotTable1"/>
    <pivotTable tabId="2" name="PivotTable3"/>
  </pivotTables>
  <data>
    <tabular pivotCacheId="23616165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516BD4-CDCF-46A4-9CE4-875A0274E50F}" sourceName="Region">
  <pivotTables>
    <pivotTable tabId="2" name="PivotTable3"/>
    <pivotTable tabId="2" name="PivotTable1"/>
    <pivotTable tabId="2" name="PivotTable2"/>
  </pivotTables>
  <data>
    <tabular pivotCacheId="236161654">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D520995-D7F0-4D23-A454-C6FC9C126FC6}" sourceName="Product_Category">
  <pivotTables>
    <pivotTable tabId="2" name="PivotTable1"/>
    <pivotTable tabId="2" name="PivotTable2"/>
    <pivotTable tabId="2" name="PivotTable3"/>
  </pivotTables>
  <data>
    <tabular pivotCacheId="23616165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93D54580-26D4-41A9-B905-4243D48D0CF0}" cache="Slicer_Customer_Type" caption="Customer_Type" rowHeight="234950"/>
  <slicer name="Region" xr10:uid="{7C3B32E0-C85F-4B4D-A3AD-824CAAD9969F}" cache="Slicer_Region" caption="Region" rowHeight="234950"/>
  <slicer name="Product_Category" xr10:uid="{3A79A5CB-5555-417E-BF0A-E5EA26B575D3}" cache="Slicer_Product_Category"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293FC0-C3F8-4490-A002-CC1396379D68}" name="Table1" displayName="Table1" ref="A1:Q26" totalsRowShown="0">
  <autoFilter ref="A1:Q26" xr:uid="{15293FC0-C3F8-4490-A002-CC1396379D68}"/>
  <tableColumns count="17">
    <tableColumn id="1" xr3:uid="{A889A6C4-48DA-49C8-BFCD-8B28B7B903BC}" name="Order_ID"/>
    <tableColumn id="2" xr3:uid="{411F7D2F-339B-4EAF-989A-ED5A542DA2D2}" name="Order_Date"/>
    <tableColumn id="3" xr3:uid="{8289D52F-770A-4901-B7C5-22AF66C53B51}" name="Customer_ID"/>
    <tableColumn id="4" xr3:uid="{ECF32D9B-7D5D-4405-A0AF-C20E5000410F}" name="Customer_Type"/>
    <tableColumn id="5" xr3:uid="{0E29CD01-BD61-4FB3-9231-0021FB53F2FE}" name="Region"/>
    <tableColumn id="6" xr3:uid="{2745EF22-C516-46E0-87CA-288125645589}" name="State"/>
    <tableColumn id="7" xr3:uid="{77888E0D-1EA6-44F8-9694-47A5B7BF6923}" name="Product_Category"/>
    <tableColumn id="8" xr3:uid="{D9B1426A-06F6-4A7A-986D-3DFFD9AD7A80}" name="Product_Name"/>
    <tableColumn id="9" xr3:uid="{F04F8B64-FE46-4407-BC7F-D7E2A50C6723}" name="Unit_Price"/>
    <tableColumn id="10" xr3:uid="{CB56AECA-90E6-492B-AE95-35E5EAE11652}" name="Quantity"/>
    <tableColumn id="11" xr3:uid="{ECA5E421-71CF-416A-9FE8-5AAD1DD9D324}" name="Discount_%"/>
    <tableColumn id="12" xr3:uid="{FD8A6279-3FBE-4B05-9BD6-ED90AFD73E1F}" name="Cost_Price"/>
    <tableColumn id="13" xr3:uid="{9AEE328C-4AD0-48C9-A229-0A91F529BD2B}" name="sales">
      <calculatedColumnFormula>I2*J2</calculatedColumnFormula>
    </tableColumn>
    <tableColumn id="14" xr3:uid="{615B2BAC-6526-4448-B82E-5361BED4DD7F}" name="disount_amount">
      <calculatedColumnFormula>(M2*K2)/100</calculatedColumnFormula>
    </tableColumn>
    <tableColumn id="15" xr3:uid="{AE934AC1-C101-4449-89D1-9F50357499EA}" name="net_sales">
      <calculatedColumnFormula>M2-N2</calculatedColumnFormula>
    </tableColumn>
    <tableColumn id="16" xr3:uid="{C8A2046F-6C1B-4AF2-B217-4A6A67BD46B4}" name="profit">
      <calculatedColumnFormula>O2-(L2*J2)</calculatedColumnFormula>
    </tableColumn>
    <tableColumn id="17" xr3:uid="{5BB02170-2357-411B-B170-EBF35241B39B}" name="profit _margin%" dataDxfId="0">
      <calculatedColumnFormula>(P2/O2)*100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Custom 5">
      <a:dk1>
        <a:srgbClr val="000000"/>
      </a:dk1>
      <a:lt1>
        <a:sysClr val="window" lastClr="FFFFFF"/>
      </a:lt1>
      <a:dk2>
        <a:srgbClr val="1F497D"/>
      </a:dk2>
      <a:lt2>
        <a:srgbClr val="EEECE1"/>
      </a:lt2>
      <a:accent1>
        <a:srgbClr val="B2A1C7"/>
      </a:accent1>
      <a:accent2>
        <a:srgbClr val="C3D69B"/>
      </a:accent2>
      <a:accent3>
        <a:srgbClr val="9BBB59"/>
      </a:accent3>
      <a:accent4>
        <a:srgbClr val="C6D9F0"/>
      </a:accent4>
      <a:accent5>
        <a:srgbClr val="92CDDC"/>
      </a:accent5>
      <a:accent6>
        <a:srgbClr val="FAC08F"/>
      </a:accent6>
      <a:hlink>
        <a:srgbClr val="6565FF"/>
      </a:hlink>
      <a:folHlink>
        <a:srgbClr val="FEB2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
  <sheetViews>
    <sheetView topLeftCell="C1" zoomScale="88" zoomScaleNormal="88" workbookViewId="0">
      <selection activeCell="F42" sqref="F42"/>
    </sheetView>
  </sheetViews>
  <sheetFormatPr defaultRowHeight="14.4" x14ac:dyDescent="0.3"/>
  <cols>
    <col min="1" max="1" width="10.44140625" customWidth="1"/>
    <col min="2" max="2" width="12.5546875" customWidth="1"/>
    <col min="3" max="3" width="13.77734375" customWidth="1"/>
    <col min="4" max="4" width="16.109375" customWidth="1"/>
    <col min="5" max="5" width="8.6640625" customWidth="1"/>
    <col min="6" max="6" width="13.77734375" bestFit="1" customWidth="1"/>
    <col min="7" max="7" width="18.109375" customWidth="1"/>
    <col min="8" max="8" width="16.109375" bestFit="1" customWidth="1"/>
    <col min="9" max="9" width="11.5546875" customWidth="1"/>
    <col min="10" max="10" width="10.21875" customWidth="1"/>
    <col min="11" max="11" width="12.6640625" customWidth="1"/>
    <col min="12" max="12" width="11.6640625" customWidth="1"/>
    <col min="14" max="14" width="16.88671875" customWidth="1"/>
    <col min="15" max="15" width="10.6640625" customWidth="1"/>
    <col min="16" max="16" width="11.109375" customWidth="1"/>
    <col min="17" max="17" width="16.33203125" customWidth="1"/>
  </cols>
  <sheetData>
    <row r="1" spans="1:17" x14ac:dyDescent="0.3">
      <c r="A1" t="s">
        <v>0</v>
      </c>
      <c r="B1" t="s">
        <v>1</v>
      </c>
      <c r="C1" t="s">
        <v>2</v>
      </c>
      <c r="D1" t="s">
        <v>3</v>
      </c>
      <c r="E1" t="s">
        <v>4</v>
      </c>
      <c r="F1" t="s">
        <v>5</v>
      </c>
      <c r="G1" t="s">
        <v>6</v>
      </c>
      <c r="H1" t="s">
        <v>7</v>
      </c>
      <c r="I1" t="s">
        <v>8</v>
      </c>
      <c r="J1" t="s">
        <v>9</v>
      </c>
      <c r="K1" t="s">
        <v>10</v>
      </c>
      <c r="L1" t="s">
        <v>11</v>
      </c>
      <c r="M1" t="s">
        <v>140</v>
      </c>
      <c r="N1" t="s">
        <v>142</v>
      </c>
      <c r="O1" t="s">
        <v>138</v>
      </c>
      <c r="P1" t="s">
        <v>139</v>
      </c>
      <c r="Q1" t="s">
        <v>141</v>
      </c>
    </row>
    <row r="2" spans="1:17" x14ac:dyDescent="0.3">
      <c r="A2" t="s">
        <v>12</v>
      </c>
      <c r="B2" t="s">
        <v>13</v>
      </c>
      <c r="C2" t="s">
        <v>14</v>
      </c>
      <c r="D2" t="s">
        <v>15</v>
      </c>
      <c r="E2" t="s">
        <v>16</v>
      </c>
      <c r="F2" t="s">
        <v>17</v>
      </c>
      <c r="G2" t="s">
        <v>18</v>
      </c>
      <c r="H2" t="s">
        <v>19</v>
      </c>
      <c r="I2">
        <v>1500</v>
      </c>
      <c r="J2">
        <v>2</v>
      </c>
      <c r="K2">
        <v>5</v>
      </c>
      <c r="L2">
        <v>1000</v>
      </c>
      <c r="M2">
        <f>I2*J2</f>
        <v>3000</v>
      </c>
      <c r="N2">
        <f>(M2*K2)/100</f>
        <v>150</v>
      </c>
      <c r="O2">
        <f>M2-N2</f>
        <v>2850</v>
      </c>
      <c r="P2">
        <f>O2-(L2*J2)</f>
        <v>850</v>
      </c>
      <c r="Q2" s="1">
        <f>(P2/O2)*100</f>
        <v>29.82456140350877</v>
      </c>
    </row>
    <row r="3" spans="1:17" x14ac:dyDescent="0.3">
      <c r="A3" t="s">
        <v>20</v>
      </c>
      <c r="B3" t="s">
        <v>21</v>
      </c>
      <c r="C3" t="s">
        <v>22</v>
      </c>
      <c r="D3" t="s">
        <v>23</v>
      </c>
      <c r="E3" t="s">
        <v>24</v>
      </c>
      <c r="F3" t="s">
        <v>25</v>
      </c>
      <c r="G3" t="s">
        <v>18</v>
      </c>
      <c r="H3" t="s">
        <v>26</v>
      </c>
      <c r="I3">
        <v>56000</v>
      </c>
      <c r="J3">
        <v>1</v>
      </c>
      <c r="K3">
        <v>10</v>
      </c>
      <c r="L3">
        <v>48000</v>
      </c>
      <c r="M3">
        <f t="shared" ref="M3:M26" si="0">I3*J3</f>
        <v>56000</v>
      </c>
      <c r="N3">
        <f t="shared" ref="N3:N26" si="1">(M3*K3)/100</f>
        <v>5600</v>
      </c>
      <c r="O3">
        <f t="shared" ref="O3:O26" si="2">M3-N3</f>
        <v>50400</v>
      </c>
      <c r="P3">
        <f t="shared" ref="P3:P26" si="3">O3-(L3*J3)</f>
        <v>2400</v>
      </c>
      <c r="Q3" s="1">
        <f t="shared" ref="Q3:Q26" si="4">(P3/O3)*100</f>
        <v>4.7619047619047619</v>
      </c>
    </row>
    <row r="4" spans="1:17" x14ac:dyDescent="0.3">
      <c r="A4" t="s">
        <v>27</v>
      </c>
      <c r="B4" t="s">
        <v>28</v>
      </c>
      <c r="C4" t="s">
        <v>29</v>
      </c>
      <c r="D4" t="s">
        <v>30</v>
      </c>
      <c r="E4" t="s">
        <v>31</v>
      </c>
      <c r="F4" t="s">
        <v>32</v>
      </c>
      <c r="G4" t="s">
        <v>33</v>
      </c>
      <c r="H4" t="s">
        <v>34</v>
      </c>
      <c r="I4">
        <v>3600</v>
      </c>
      <c r="J4">
        <v>4</v>
      </c>
      <c r="K4">
        <v>8</v>
      </c>
      <c r="L4">
        <v>2600</v>
      </c>
      <c r="M4">
        <f t="shared" si="0"/>
        <v>14400</v>
      </c>
      <c r="N4">
        <f t="shared" si="1"/>
        <v>1152</v>
      </c>
      <c r="O4">
        <f t="shared" si="2"/>
        <v>13248</v>
      </c>
      <c r="P4">
        <f t="shared" si="3"/>
        <v>2848</v>
      </c>
      <c r="Q4" s="1">
        <f t="shared" si="4"/>
        <v>21.497584541062803</v>
      </c>
    </row>
    <row r="5" spans="1:17" x14ac:dyDescent="0.3">
      <c r="A5" t="s">
        <v>35</v>
      </c>
      <c r="B5" t="s">
        <v>36</v>
      </c>
      <c r="C5" t="s">
        <v>37</v>
      </c>
      <c r="D5" t="s">
        <v>15</v>
      </c>
      <c r="E5" t="s">
        <v>38</v>
      </c>
      <c r="F5" t="s">
        <v>39</v>
      </c>
      <c r="G5" t="s">
        <v>40</v>
      </c>
      <c r="H5" t="s">
        <v>41</v>
      </c>
      <c r="I5">
        <v>2900</v>
      </c>
      <c r="J5">
        <v>2</v>
      </c>
      <c r="K5">
        <v>6</v>
      </c>
      <c r="L5">
        <v>2100</v>
      </c>
      <c r="M5">
        <f t="shared" si="0"/>
        <v>5800</v>
      </c>
      <c r="N5">
        <f t="shared" si="1"/>
        <v>348</v>
      </c>
      <c r="O5">
        <f t="shared" si="2"/>
        <v>5452</v>
      </c>
      <c r="P5">
        <f t="shared" si="3"/>
        <v>1252</v>
      </c>
      <c r="Q5" s="1">
        <f t="shared" si="4"/>
        <v>22.964049889948644</v>
      </c>
    </row>
    <row r="6" spans="1:17" x14ac:dyDescent="0.3">
      <c r="A6" t="s">
        <v>42</v>
      </c>
      <c r="B6" t="s">
        <v>43</v>
      </c>
      <c r="C6" t="s">
        <v>44</v>
      </c>
      <c r="D6" t="s">
        <v>23</v>
      </c>
      <c r="E6" t="s">
        <v>16</v>
      </c>
      <c r="F6" t="s">
        <v>45</v>
      </c>
      <c r="G6" t="s">
        <v>18</v>
      </c>
      <c r="H6" t="s">
        <v>46</v>
      </c>
      <c r="I6">
        <v>12500</v>
      </c>
      <c r="J6">
        <v>2</v>
      </c>
      <c r="K6">
        <v>12</v>
      </c>
      <c r="L6">
        <v>9500</v>
      </c>
      <c r="M6">
        <f t="shared" si="0"/>
        <v>25000</v>
      </c>
      <c r="N6">
        <f t="shared" si="1"/>
        <v>3000</v>
      </c>
      <c r="O6">
        <f t="shared" si="2"/>
        <v>22000</v>
      </c>
      <c r="P6">
        <f t="shared" si="3"/>
        <v>3000</v>
      </c>
      <c r="Q6" s="1">
        <f t="shared" si="4"/>
        <v>13.636363636363635</v>
      </c>
    </row>
    <row r="7" spans="1:17" x14ac:dyDescent="0.3">
      <c r="A7" t="s">
        <v>47</v>
      </c>
      <c r="B7" t="s">
        <v>48</v>
      </c>
      <c r="C7" t="s">
        <v>49</v>
      </c>
      <c r="D7" t="s">
        <v>15</v>
      </c>
      <c r="E7" t="s">
        <v>16</v>
      </c>
      <c r="F7" t="s">
        <v>50</v>
      </c>
      <c r="G7" t="s">
        <v>33</v>
      </c>
      <c r="H7" t="s">
        <v>51</v>
      </c>
      <c r="I7">
        <v>6200</v>
      </c>
      <c r="J7">
        <v>1</v>
      </c>
      <c r="K7">
        <v>5</v>
      </c>
      <c r="L7">
        <v>4300</v>
      </c>
      <c r="M7">
        <f t="shared" si="0"/>
        <v>6200</v>
      </c>
      <c r="N7">
        <f t="shared" si="1"/>
        <v>310</v>
      </c>
      <c r="O7">
        <f t="shared" si="2"/>
        <v>5890</v>
      </c>
      <c r="P7">
        <f t="shared" si="3"/>
        <v>1590</v>
      </c>
      <c r="Q7" s="1">
        <f t="shared" si="4"/>
        <v>26.99490662139219</v>
      </c>
    </row>
    <row r="8" spans="1:17" x14ac:dyDescent="0.3">
      <c r="A8" t="s">
        <v>52</v>
      </c>
      <c r="B8" t="s">
        <v>53</v>
      </c>
      <c r="C8" t="s">
        <v>54</v>
      </c>
      <c r="D8" t="s">
        <v>30</v>
      </c>
      <c r="E8" t="s">
        <v>24</v>
      </c>
      <c r="F8" t="s">
        <v>55</v>
      </c>
      <c r="G8" t="s">
        <v>40</v>
      </c>
      <c r="H8" t="s">
        <v>56</v>
      </c>
      <c r="I8">
        <v>15500</v>
      </c>
      <c r="J8">
        <v>2</v>
      </c>
      <c r="K8">
        <v>10</v>
      </c>
      <c r="L8">
        <v>11500</v>
      </c>
      <c r="M8">
        <f t="shared" si="0"/>
        <v>31000</v>
      </c>
      <c r="N8">
        <f t="shared" si="1"/>
        <v>3100</v>
      </c>
      <c r="O8">
        <f t="shared" si="2"/>
        <v>27900</v>
      </c>
      <c r="P8">
        <f t="shared" si="3"/>
        <v>4900</v>
      </c>
      <c r="Q8" s="1">
        <f t="shared" si="4"/>
        <v>17.562724014336915</v>
      </c>
    </row>
    <row r="9" spans="1:17" x14ac:dyDescent="0.3">
      <c r="A9" t="s">
        <v>57</v>
      </c>
      <c r="B9" t="s">
        <v>58</v>
      </c>
      <c r="C9" t="s">
        <v>59</v>
      </c>
      <c r="D9" t="s">
        <v>15</v>
      </c>
      <c r="E9" t="s">
        <v>31</v>
      </c>
      <c r="F9" t="s">
        <v>60</v>
      </c>
      <c r="G9" t="s">
        <v>18</v>
      </c>
      <c r="H9" t="s">
        <v>61</v>
      </c>
      <c r="I9">
        <v>1300</v>
      </c>
      <c r="J9">
        <v>3</v>
      </c>
      <c r="K9">
        <v>5</v>
      </c>
      <c r="L9">
        <v>800</v>
      </c>
      <c r="M9">
        <f t="shared" si="0"/>
        <v>3900</v>
      </c>
      <c r="N9">
        <f t="shared" si="1"/>
        <v>195</v>
      </c>
      <c r="O9">
        <f t="shared" si="2"/>
        <v>3705</v>
      </c>
      <c r="P9">
        <f t="shared" si="3"/>
        <v>1305</v>
      </c>
      <c r="Q9" s="1">
        <f t="shared" si="4"/>
        <v>35.222672064777328</v>
      </c>
    </row>
    <row r="10" spans="1:17" x14ac:dyDescent="0.3">
      <c r="A10" t="s">
        <v>62</v>
      </c>
      <c r="B10" t="s">
        <v>63</v>
      </c>
      <c r="C10" t="s">
        <v>64</v>
      </c>
      <c r="D10" t="s">
        <v>23</v>
      </c>
      <c r="E10" t="s">
        <v>38</v>
      </c>
      <c r="F10" t="s">
        <v>65</v>
      </c>
      <c r="G10" t="s">
        <v>33</v>
      </c>
      <c r="H10" t="s">
        <v>66</v>
      </c>
      <c r="I10">
        <v>26000</v>
      </c>
      <c r="J10">
        <v>1</v>
      </c>
      <c r="K10">
        <v>15</v>
      </c>
      <c r="L10">
        <v>19500</v>
      </c>
      <c r="M10">
        <f t="shared" si="0"/>
        <v>26000</v>
      </c>
      <c r="N10">
        <f t="shared" si="1"/>
        <v>3900</v>
      </c>
      <c r="O10">
        <f t="shared" si="2"/>
        <v>22100</v>
      </c>
      <c r="P10">
        <f t="shared" si="3"/>
        <v>2600</v>
      </c>
      <c r="Q10" s="1">
        <f t="shared" si="4"/>
        <v>11.76470588235294</v>
      </c>
    </row>
    <row r="11" spans="1:17" x14ac:dyDescent="0.3">
      <c r="A11" t="s">
        <v>67</v>
      </c>
      <c r="B11" t="s">
        <v>68</v>
      </c>
      <c r="C11" t="s">
        <v>69</v>
      </c>
      <c r="D11" t="s">
        <v>15</v>
      </c>
      <c r="E11" t="s">
        <v>16</v>
      </c>
      <c r="F11" t="s">
        <v>70</v>
      </c>
      <c r="G11" t="s">
        <v>40</v>
      </c>
      <c r="H11" t="s">
        <v>71</v>
      </c>
      <c r="I11">
        <v>3300</v>
      </c>
      <c r="J11">
        <v>2</v>
      </c>
      <c r="K11">
        <v>5</v>
      </c>
      <c r="L11">
        <v>2400</v>
      </c>
      <c r="M11">
        <f t="shared" si="0"/>
        <v>6600</v>
      </c>
      <c r="N11">
        <f t="shared" si="1"/>
        <v>330</v>
      </c>
      <c r="O11">
        <f t="shared" si="2"/>
        <v>6270</v>
      </c>
      <c r="P11">
        <f t="shared" si="3"/>
        <v>1470</v>
      </c>
      <c r="Q11" s="1">
        <f t="shared" si="4"/>
        <v>23.444976076555022</v>
      </c>
    </row>
    <row r="12" spans="1:17" x14ac:dyDescent="0.3">
      <c r="A12" t="s">
        <v>72</v>
      </c>
      <c r="B12" t="s">
        <v>73</v>
      </c>
      <c r="C12" t="s">
        <v>74</v>
      </c>
      <c r="D12" t="s">
        <v>30</v>
      </c>
      <c r="E12" t="s">
        <v>31</v>
      </c>
      <c r="F12" t="s">
        <v>32</v>
      </c>
      <c r="G12" t="s">
        <v>18</v>
      </c>
      <c r="H12" t="s">
        <v>75</v>
      </c>
      <c r="I12">
        <v>3000</v>
      </c>
      <c r="J12">
        <v>3</v>
      </c>
      <c r="K12">
        <v>7</v>
      </c>
      <c r="L12">
        <v>2100</v>
      </c>
      <c r="M12">
        <f t="shared" si="0"/>
        <v>9000</v>
      </c>
      <c r="N12">
        <f t="shared" si="1"/>
        <v>630</v>
      </c>
      <c r="O12">
        <f t="shared" si="2"/>
        <v>8370</v>
      </c>
      <c r="P12">
        <f t="shared" si="3"/>
        <v>2070</v>
      </c>
      <c r="Q12" s="1">
        <f t="shared" si="4"/>
        <v>24.731182795698924</v>
      </c>
    </row>
    <row r="13" spans="1:17" x14ac:dyDescent="0.3">
      <c r="A13" t="s">
        <v>76</v>
      </c>
      <c r="B13" t="s">
        <v>77</v>
      </c>
      <c r="C13" t="s">
        <v>78</v>
      </c>
      <c r="D13" t="s">
        <v>23</v>
      </c>
      <c r="E13" t="s">
        <v>24</v>
      </c>
      <c r="F13" t="s">
        <v>79</v>
      </c>
      <c r="G13" t="s">
        <v>18</v>
      </c>
      <c r="H13" t="s">
        <v>80</v>
      </c>
      <c r="I13">
        <v>9800</v>
      </c>
      <c r="J13">
        <v>2</v>
      </c>
      <c r="K13">
        <v>10</v>
      </c>
      <c r="L13">
        <v>7500</v>
      </c>
      <c r="M13">
        <f t="shared" si="0"/>
        <v>19600</v>
      </c>
      <c r="N13">
        <f t="shared" si="1"/>
        <v>1960</v>
      </c>
      <c r="O13">
        <f t="shared" si="2"/>
        <v>17640</v>
      </c>
      <c r="P13">
        <f t="shared" si="3"/>
        <v>2640</v>
      </c>
      <c r="Q13" s="1">
        <f t="shared" si="4"/>
        <v>14.965986394557824</v>
      </c>
    </row>
    <row r="14" spans="1:17" x14ac:dyDescent="0.3">
      <c r="A14" t="s">
        <v>81</v>
      </c>
      <c r="B14" t="s">
        <v>82</v>
      </c>
      <c r="C14" t="s">
        <v>83</v>
      </c>
      <c r="D14" t="s">
        <v>15</v>
      </c>
      <c r="E14" t="s">
        <v>38</v>
      </c>
      <c r="F14" t="s">
        <v>84</v>
      </c>
      <c r="G14" t="s">
        <v>40</v>
      </c>
      <c r="H14" t="s">
        <v>85</v>
      </c>
      <c r="I14">
        <v>1900</v>
      </c>
      <c r="J14">
        <v>3</v>
      </c>
      <c r="K14">
        <v>5</v>
      </c>
      <c r="L14">
        <v>1300</v>
      </c>
      <c r="M14">
        <f t="shared" si="0"/>
        <v>5700</v>
      </c>
      <c r="N14">
        <f t="shared" si="1"/>
        <v>285</v>
      </c>
      <c r="O14">
        <f t="shared" si="2"/>
        <v>5415</v>
      </c>
      <c r="P14">
        <f t="shared" si="3"/>
        <v>1515</v>
      </c>
      <c r="Q14" s="1">
        <f t="shared" si="4"/>
        <v>27.977839335180054</v>
      </c>
    </row>
    <row r="15" spans="1:17" x14ac:dyDescent="0.3">
      <c r="A15" t="s">
        <v>86</v>
      </c>
      <c r="B15" t="s">
        <v>87</v>
      </c>
      <c r="C15" t="s">
        <v>88</v>
      </c>
      <c r="D15" t="s">
        <v>30</v>
      </c>
      <c r="E15" t="s">
        <v>16</v>
      </c>
      <c r="F15" t="s">
        <v>89</v>
      </c>
      <c r="G15" t="s">
        <v>33</v>
      </c>
      <c r="H15" t="s">
        <v>90</v>
      </c>
      <c r="I15">
        <v>7800</v>
      </c>
      <c r="J15">
        <v>2</v>
      </c>
      <c r="K15">
        <v>8</v>
      </c>
      <c r="L15">
        <v>5600</v>
      </c>
      <c r="M15">
        <f t="shared" si="0"/>
        <v>15600</v>
      </c>
      <c r="N15">
        <f t="shared" si="1"/>
        <v>1248</v>
      </c>
      <c r="O15">
        <f t="shared" si="2"/>
        <v>14352</v>
      </c>
      <c r="P15">
        <f t="shared" si="3"/>
        <v>3152</v>
      </c>
      <c r="Q15" s="1">
        <f t="shared" si="4"/>
        <v>21.962095875139354</v>
      </c>
    </row>
    <row r="16" spans="1:17" x14ac:dyDescent="0.3">
      <c r="A16" t="s">
        <v>91</v>
      </c>
      <c r="B16" t="s">
        <v>92</v>
      </c>
      <c r="C16" t="s">
        <v>93</v>
      </c>
      <c r="D16" t="s">
        <v>15</v>
      </c>
      <c r="E16" t="s">
        <v>31</v>
      </c>
      <c r="F16" t="s">
        <v>94</v>
      </c>
      <c r="G16" t="s">
        <v>18</v>
      </c>
      <c r="H16" t="s">
        <v>95</v>
      </c>
      <c r="I16">
        <v>5200</v>
      </c>
      <c r="J16">
        <v>1</v>
      </c>
      <c r="K16">
        <v>6</v>
      </c>
      <c r="L16">
        <v>3700</v>
      </c>
      <c r="M16">
        <f t="shared" si="0"/>
        <v>5200</v>
      </c>
      <c r="N16">
        <f t="shared" si="1"/>
        <v>312</v>
      </c>
      <c r="O16">
        <f t="shared" si="2"/>
        <v>4888</v>
      </c>
      <c r="P16">
        <f t="shared" si="3"/>
        <v>1188</v>
      </c>
      <c r="Q16" s="1">
        <f t="shared" si="4"/>
        <v>24.304418985270047</v>
      </c>
    </row>
    <row r="17" spans="1:17" x14ac:dyDescent="0.3">
      <c r="A17" t="s">
        <v>96</v>
      </c>
      <c r="B17" t="s">
        <v>97</v>
      </c>
      <c r="C17" t="s">
        <v>98</v>
      </c>
      <c r="D17" t="s">
        <v>23</v>
      </c>
      <c r="E17" t="s">
        <v>16</v>
      </c>
      <c r="F17" t="s">
        <v>17</v>
      </c>
      <c r="G17" t="s">
        <v>40</v>
      </c>
      <c r="H17" t="s">
        <v>99</v>
      </c>
      <c r="I17">
        <v>43000</v>
      </c>
      <c r="J17">
        <v>1</v>
      </c>
      <c r="K17">
        <v>12</v>
      </c>
      <c r="L17">
        <v>37000</v>
      </c>
      <c r="M17">
        <f t="shared" si="0"/>
        <v>43000</v>
      </c>
      <c r="N17">
        <f t="shared" si="1"/>
        <v>5160</v>
      </c>
      <c r="O17">
        <f t="shared" si="2"/>
        <v>37840</v>
      </c>
      <c r="P17">
        <f t="shared" si="3"/>
        <v>840</v>
      </c>
      <c r="Q17" s="1">
        <f t="shared" si="4"/>
        <v>2.2198731501057085</v>
      </c>
    </row>
    <row r="18" spans="1:17" x14ac:dyDescent="0.3">
      <c r="A18" t="s">
        <v>100</v>
      </c>
      <c r="B18" t="s">
        <v>101</v>
      </c>
      <c r="C18" t="s">
        <v>102</v>
      </c>
      <c r="D18" t="s">
        <v>30</v>
      </c>
      <c r="E18" t="s">
        <v>38</v>
      </c>
      <c r="F18" t="s">
        <v>103</v>
      </c>
      <c r="G18" t="s">
        <v>33</v>
      </c>
      <c r="H18" t="s">
        <v>104</v>
      </c>
      <c r="I18">
        <v>9200</v>
      </c>
      <c r="J18">
        <v>2</v>
      </c>
      <c r="K18">
        <v>10</v>
      </c>
      <c r="L18">
        <v>6700</v>
      </c>
      <c r="M18">
        <f t="shared" si="0"/>
        <v>18400</v>
      </c>
      <c r="N18">
        <f t="shared" si="1"/>
        <v>1840</v>
      </c>
      <c r="O18">
        <f t="shared" si="2"/>
        <v>16560</v>
      </c>
      <c r="P18">
        <f t="shared" si="3"/>
        <v>3160</v>
      </c>
      <c r="Q18" s="1">
        <f t="shared" si="4"/>
        <v>19.082125603864732</v>
      </c>
    </row>
    <row r="19" spans="1:17" x14ac:dyDescent="0.3">
      <c r="A19" t="s">
        <v>105</v>
      </c>
      <c r="B19" t="s">
        <v>106</v>
      </c>
      <c r="C19" t="s">
        <v>107</v>
      </c>
      <c r="D19" t="s">
        <v>15</v>
      </c>
      <c r="E19" t="s">
        <v>24</v>
      </c>
      <c r="F19" t="s">
        <v>108</v>
      </c>
      <c r="G19" t="s">
        <v>18</v>
      </c>
      <c r="H19" t="s">
        <v>109</v>
      </c>
      <c r="I19">
        <v>2600</v>
      </c>
      <c r="J19">
        <v>2</v>
      </c>
      <c r="K19">
        <v>5</v>
      </c>
      <c r="L19">
        <v>1700</v>
      </c>
      <c r="M19">
        <f t="shared" si="0"/>
        <v>5200</v>
      </c>
      <c r="N19">
        <f t="shared" si="1"/>
        <v>260</v>
      </c>
      <c r="O19">
        <f t="shared" si="2"/>
        <v>4940</v>
      </c>
      <c r="P19">
        <f t="shared" si="3"/>
        <v>1540</v>
      </c>
      <c r="Q19" s="1">
        <f t="shared" si="4"/>
        <v>31.174089068825911</v>
      </c>
    </row>
    <row r="20" spans="1:17" x14ac:dyDescent="0.3">
      <c r="A20" t="s">
        <v>110</v>
      </c>
      <c r="B20" t="s">
        <v>111</v>
      </c>
      <c r="C20" t="s">
        <v>112</v>
      </c>
      <c r="D20" t="s">
        <v>23</v>
      </c>
      <c r="E20" t="s">
        <v>31</v>
      </c>
      <c r="F20" t="s">
        <v>113</v>
      </c>
      <c r="G20" t="s">
        <v>40</v>
      </c>
      <c r="H20" t="s">
        <v>114</v>
      </c>
      <c r="I20">
        <v>39000</v>
      </c>
      <c r="J20">
        <v>1</v>
      </c>
      <c r="K20">
        <v>10</v>
      </c>
      <c r="L20">
        <v>33000</v>
      </c>
      <c r="M20">
        <f t="shared" si="0"/>
        <v>39000</v>
      </c>
      <c r="N20">
        <f t="shared" si="1"/>
        <v>3900</v>
      </c>
      <c r="O20">
        <f t="shared" si="2"/>
        <v>35100</v>
      </c>
      <c r="P20">
        <f t="shared" si="3"/>
        <v>2100</v>
      </c>
      <c r="Q20" s="1">
        <f t="shared" si="4"/>
        <v>5.982905982905983</v>
      </c>
    </row>
    <row r="21" spans="1:17" x14ac:dyDescent="0.3">
      <c r="A21" t="s">
        <v>115</v>
      </c>
      <c r="B21" t="s">
        <v>116</v>
      </c>
      <c r="C21" t="s">
        <v>117</v>
      </c>
      <c r="D21" t="s">
        <v>15</v>
      </c>
      <c r="E21" t="s">
        <v>16</v>
      </c>
      <c r="F21" t="s">
        <v>50</v>
      </c>
      <c r="G21" t="s">
        <v>18</v>
      </c>
      <c r="H21" t="s">
        <v>118</v>
      </c>
      <c r="I21">
        <v>18500</v>
      </c>
      <c r="J21">
        <v>1</v>
      </c>
      <c r="K21">
        <v>7</v>
      </c>
      <c r="L21">
        <v>14500</v>
      </c>
      <c r="M21">
        <f t="shared" si="0"/>
        <v>18500</v>
      </c>
      <c r="N21">
        <f t="shared" si="1"/>
        <v>1295</v>
      </c>
      <c r="O21">
        <f t="shared" si="2"/>
        <v>17205</v>
      </c>
      <c r="P21">
        <f t="shared" si="3"/>
        <v>2705</v>
      </c>
      <c r="Q21" s="1">
        <f t="shared" si="4"/>
        <v>15.722173786689916</v>
      </c>
    </row>
    <row r="22" spans="1:17" x14ac:dyDescent="0.3">
      <c r="A22" t="s">
        <v>119</v>
      </c>
      <c r="B22" t="s">
        <v>120</v>
      </c>
      <c r="C22" t="s">
        <v>121</v>
      </c>
      <c r="D22" t="s">
        <v>15</v>
      </c>
      <c r="E22" t="s">
        <v>16</v>
      </c>
      <c r="F22" t="s">
        <v>17</v>
      </c>
      <c r="G22" t="s">
        <v>18</v>
      </c>
      <c r="H22" t="s">
        <v>122</v>
      </c>
      <c r="I22">
        <v>42000</v>
      </c>
      <c r="J22">
        <v>1</v>
      </c>
      <c r="K22">
        <v>8</v>
      </c>
      <c r="L22">
        <v>36000</v>
      </c>
      <c r="M22">
        <f t="shared" si="0"/>
        <v>42000</v>
      </c>
      <c r="N22">
        <f t="shared" si="1"/>
        <v>3360</v>
      </c>
      <c r="O22">
        <f t="shared" si="2"/>
        <v>38640</v>
      </c>
      <c r="P22">
        <f t="shared" si="3"/>
        <v>2640</v>
      </c>
      <c r="Q22" s="1">
        <f t="shared" si="4"/>
        <v>6.8322981366459627</v>
      </c>
    </row>
    <row r="23" spans="1:17" x14ac:dyDescent="0.3">
      <c r="A23" t="s">
        <v>123</v>
      </c>
      <c r="B23" t="s">
        <v>124</v>
      </c>
      <c r="C23" t="s">
        <v>125</v>
      </c>
      <c r="D23" t="s">
        <v>23</v>
      </c>
      <c r="E23" t="s">
        <v>24</v>
      </c>
      <c r="F23" t="s">
        <v>25</v>
      </c>
      <c r="G23" t="s">
        <v>18</v>
      </c>
      <c r="H23" t="s">
        <v>26</v>
      </c>
      <c r="I23">
        <v>57000</v>
      </c>
      <c r="J23">
        <v>1</v>
      </c>
      <c r="K23">
        <v>9</v>
      </c>
      <c r="L23">
        <v>49000</v>
      </c>
      <c r="M23">
        <f t="shared" si="0"/>
        <v>57000</v>
      </c>
      <c r="N23">
        <f t="shared" si="1"/>
        <v>5130</v>
      </c>
      <c r="O23">
        <f t="shared" si="2"/>
        <v>51870</v>
      </c>
      <c r="P23">
        <f t="shared" si="3"/>
        <v>2870</v>
      </c>
      <c r="Q23" s="1">
        <f t="shared" si="4"/>
        <v>5.5330634278002702</v>
      </c>
    </row>
    <row r="24" spans="1:17" x14ac:dyDescent="0.3">
      <c r="A24" t="s">
        <v>126</v>
      </c>
      <c r="B24" t="s">
        <v>127</v>
      </c>
      <c r="C24" t="s">
        <v>128</v>
      </c>
      <c r="D24" t="s">
        <v>30</v>
      </c>
      <c r="E24" t="s">
        <v>31</v>
      </c>
      <c r="F24" t="s">
        <v>32</v>
      </c>
      <c r="G24" t="s">
        <v>33</v>
      </c>
      <c r="H24" t="s">
        <v>129</v>
      </c>
      <c r="I24">
        <v>9000</v>
      </c>
      <c r="J24">
        <v>2</v>
      </c>
      <c r="K24">
        <v>10</v>
      </c>
      <c r="L24">
        <v>6500</v>
      </c>
      <c r="M24">
        <f t="shared" si="0"/>
        <v>18000</v>
      </c>
      <c r="N24">
        <f t="shared" si="1"/>
        <v>1800</v>
      </c>
      <c r="O24">
        <f t="shared" si="2"/>
        <v>16200</v>
      </c>
      <c r="P24">
        <f t="shared" si="3"/>
        <v>3200</v>
      </c>
      <c r="Q24" s="1">
        <f t="shared" si="4"/>
        <v>19.753086419753085</v>
      </c>
    </row>
    <row r="25" spans="1:17" x14ac:dyDescent="0.3">
      <c r="A25" t="s">
        <v>130</v>
      </c>
      <c r="B25" t="s">
        <v>131</v>
      </c>
      <c r="C25" t="s">
        <v>132</v>
      </c>
      <c r="D25" t="s">
        <v>15</v>
      </c>
      <c r="E25" t="s">
        <v>38</v>
      </c>
      <c r="F25" t="s">
        <v>39</v>
      </c>
      <c r="G25" t="s">
        <v>40</v>
      </c>
      <c r="H25" t="s">
        <v>133</v>
      </c>
      <c r="I25">
        <v>12000</v>
      </c>
      <c r="J25">
        <v>1</v>
      </c>
      <c r="K25">
        <v>7</v>
      </c>
      <c r="L25">
        <v>9000</v>
      </c>
      <c r="M25">
        <f t="shared" si="0"/>
        <v>12000</v>
      </c>
      <c r="N25">
        <f t="shared" si="1"/>
        <v>840</v>
      </c>
      <c r="O25">
        <f t="shared" si="2"/>
        <v>11160</v>
      </c>
      <c r="P25">
        <f t="shared" si="3"/>
        <v>2160</v>
      </c>
      <c r="Q25" s="1">
        <f t="shared" si="4"/>
        <v>19.35483870967742</v>
      </c>
    </row>
    <row r="26" spans="1:17" x14ac:dyDescent="0.3">
      <c r="A26" t="s">
        <v>134</v>
      </c>
      <c r="B26" t="s">
        <v>135</v>
      </c>
      <c r="C26" t="s">
        <v>136</v>
      </c>
      <c r="D26" t="s">
        <v>23</v>
      </c>
      <c r="E26" t="s">
        <v>16</v>
      </c>
      <c r="F26" t="s">
        <v>45</v>
      </c>
      <c r="G26" t="s">
        <v>18</v>
      </c>
      <c r="H26" t="s">
        <v>137</v>
      </c>
      <c r="I26">
        <v>18000</v>
      </c>
      <c r="J26">
        <v>2</v>
      </c>
      <c r="K26">
        <v>12</v>
      </c>
      <c r="L26">
        <v>14000</v>
      </c>
      <c r="M26">
        <f t="shared" si="0"/>
        <v>36000</v>
      </c>
      <c r="N26">
        <f t="shared" si="1"/>
        <v>4320</v>
      </c>
      <c r="O26">
        <f t="shared" si="2"/>
        <v>31680</v>
      </c>
      <c r="P26">
        <f t="shared" si="3"/>
        <v>3680</v>
      </c>
      <c r="Q26" s="1">
        <f t="shared" si="4"/>
        <v>11.616161616161616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D0A8E-28E1-458F-B0A4-11BBBBF49BD4}">
  <dimension ref="B4:L40"/>
  <sheetViews>
    <sheetView showGridLines="0" topLeftCell="A16" workbookViewId="0">
      <selection activeCell="P28" sqref="P28"/>
    </sheetView>
  </sheetViews>
  <sheetFormatPr defaultRowHeight="14.4" x14ac:dyDescent="0.3"/>
  <cols>
    <col min="1" max="3" width="12.5546875" bestFit="1" customWidth="1"/>
    <col min="4" max="4" width="12.109375" bestFit="1" customWidth="1"/>
    <col min="5" max="5" width="7" bestFit="1" customWidth="1"/>
    <col min="6" max="6" width="6" bestFit="1" customWidth="1"/>
    <col min="7" max="7" width="10.77734375" bestFit="1" customWidth="1"/>
  </cols>
  <sheetData>
    <row r="4" spans="2:12" x14ac:dyDescent="0.3">
      <c r="C4" s="7" t="s">
        <v>153</v>
      </c>
      <c r="E4" s="12" t="s">
        <v>143</v>
      </c>
      <c r="F4" s="12"/>
      <c r="H4" s="12" t="s">
        <v>144</v>
      </c>
      <c r="I4" s="12"/>
      <c r="K4" s="12" t="s">
        <v>145</v>
      </c>
      <c r="L4" s="12"/>
    </row>
    <row r="5" spans="2:12" x14ac:dyDescent="0.3">
      <c r="B5" s="9"/>
      <c r="C5" s="8">
        <f>SUM(Table1[net_sales])</f>
        <v>471675</v>
      </c>
      <c r="E5" s="11">
        <f>SUM(Raw_Data!P2:P26)</f>
        <v>57675</v>
      </c>
      <c r="F5" s="11"/>
      <c r="H5" s="11">
        <f>AVERAGE(Raw_Data!O2:O26)</f>
        <v>18867</v>
      </c>
      <c r="I5" s="11"/>
      <c r="K5" s="10">
        <f>(E5/C5)</f>
        <v>0.12227699157258706</v>
      </c>
      <c r="L5" s="10"/>
    </row>
    <row r="9" spans="2:12" x14ac:dyDescent="0.3">
      <c r="C9" s="4" t="s">
        <v>148</v>
      </c>
    </row>
    <row r="10" spans="2:12" x14ac:dyDescent="0.3">
      <c r="C10" s="2" t="s">
        <v>146</v>
      </c>
      <c r="D10" t="s">
        <v>152</v>
      </c>
    </row>
    <row r="11" spans="2:12" x14ac:dyDescent="0.3">
      <c r="C11" s="3" t="s">
        <v>38</v>
      </c>
      <c r="D11" s="15">
        <v>60687</v>
      </c>
    </row>
    <row r="12" spans="2:12" x14ac:dyDescent="0.3">
      <c r="C12" s="3" t="s">
        <v>24</v>
      </c>
      <c r="D12" s="15">
        <v>152750</v>
      </c>
    </row>
    <row r="13" spans="2:12" x14ac:dyDescent="0.3">
      <c r="C13" s="3" t="s">
        <v>16</v>
      </c>
      <c r="D13" s="15">
        <v>176727</v>
      </c>
    </row>
    <row r="14" spans="2:12" x14ac:dyDescent="0.3">
      <c r="C14" s="3" t="s">
        <v>31</v>
      </c>
      <c r="D14" s="15">
        <v>81511</v>
      </c>
    </row>
    <row r="15" spans="2:12" x14ac:dyDescent="0.3">
      <c r="C15" s="3" t="s">
        <v>147</v>
      </c>
      <c r="D15" s="15">
        <v>471675</v>
      </c>
    </row>
    <row r="22" spans="3:4" x14ac:dyDescent="0.3">
      <c r="C22" s="4" t="s">
        <v>149</v>
      </c>
    </row>
    <row r="23" spans="3:4" x14ac:dyDescent="0.3">
      <c r="C23" s="2" t="s">
        <v>146</v>
      </c>
      <c r="D23" t="s">
        <v>150</v>
      </c>
    </row>
    <row r="24" spans="3:4" x14ac:dyDescent="0.3">
      <c r="C24" s="3" t="s">
        <v>40</v>
      </c>
      <c r="D24" s="15">
        <v>14237</v>
      </c>
    </row>
    <row r="25" spans="3:4" x14ac:dyDescent="0.3">
      <c r="C25" s="3" t="s">
        <v>18</v>
      </c>
      <c r="D25" s="15">
        <v>26888</v>
      </c>
    </row>
    <row r="26" spans="3:4" x14ac:dyDescent="0.3">
      <c r="C26" s="3" t="s">
        <v>33</v>
      </c>
      <c r="D26" s="15">
        <v>16550</v>
      </c>
    </row>
    <row r="27" spans="3:4" x14ac:dyDescent="0.3">
      <c r="C27" s="3" t="s">
        <v>147</v>
      </c>
      <c r="D27" s="15">
        <v>57675</v>
      </c>
    </row>
    <row r="35" spans="3:4" x14ac:dyDescent="0.3">
      <c r="C35" s="4" t="s">
        <v>151</v>
      </c>
    </row>
    <row r="36" spans="3:4" x14ac:dyDescent="0.3">
      <c r="C36" s="2" t="s">
        <v>146</v>
      </c>
      <c r="D36" t="s">
        <v>152</v>
      </c>
    </row>
    <row r="37" spans="3:4" x14ac:dyDescent="0.3">
      <c r="C37" s="3" t="s">
        <v>23</v>
      </c>
      <c r="D37" s="15">
        <v>268630</v>
      </c>
    </row>
    <row r="38" spans="3:4" x14ac:dyDescent="0.3">
      <c r="C38" s="3" t="s">
        <v>15</v>
      </c>
      <c r="D38" s="15">
        <v>106415</v>
      </c>
    </row>
    <row r="39" spans="3:4" x14ac:dyDescent="0.3">
      <c r="C39" s="3" t="s">
        <v>30</v>
      </c>
      <c r="D39" s="15">
        <v>96630</v>
      </c>
    </row>
    <row r="40" spans="3:4" x14ac:dyDescent="0.3">
      <c r="C40" s="3" t="s">
        <v>147</v>
      </c>
      <c r="D40" s="15">
        <v>471675</v>
      </c>
    </row>
  </sheetData>
  <mergeCells count="6">
    <mergeCell ref="K5:L5"/>
    <mergeCell ref="H5:I5"/>
    <mergeCell ref="E5:F5"/>
    <mergeCell ref="H4:I4"/>
    <mergeCell ref="K4:L4"/>
    <mergeCell ref="E4:F4"/>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A3FF-3E69-4F27-B845-E3D3E240B1F6}">
  <dimension ref="B1:O34"/>
  <sheetViews>
    <sheetView showGridLines="0" tabSelected="1" workbookViewId="0">
      <selection activeCell="R26" sqref="R26"/>
    </sheetView>
  </sheetViews>
  <sheetFormatPr defaultRowHeight="14.4" x14ac:dyDescent="0.3"/>
  <sheetData>
    <row r="1" spans="2:15" x14ac:dyDescent="0.3">
      <c r="B1" s="13" t="s">
        <v>154</v>
      </c>
      <c r="C1" s="14"/>
      <c r="D1" s="14"/>
      <c r="E1" s="14"/>
      <c r="F1" s="14"/>
      <c r="G1" s="14"/>
      <c r="H1" s="14"/>
      <c r="I1" s="14"/>
      <c r="J1" s="14"/>
      <c r="K1" s="14"/>
      <c r="L1" s="14"/>
      <c r="M1" s="14"/>
      <c r="N1" s="14"/>
      <c r="O1" s="14"/>
    </row>
    <row r="2" spans="2:15" x14ac:dyDescent="0.3">
      <c r="B2" s="14"/>
      <c r="C2" s="14"/>
      <c r="D2" s="14"/>
      <c r="E2" s="14"/>
      <c r="F2" s="14"/>
      <c r="G2" s="14"/>
      <c r="H2" s="14"/>
      <c r="I2" s="14"/>
      <c r="J2" s="14"/>
      <c r="K2" s="14"/>
      <c r="L2" s="14"/>
      <c r="M2" s="14"/>
      <c r="N2" s="14"/>
      <c r="O2" s="14"/>
    </row>
    <row r="3" spans="2:15" x14ac:dyDescent="0.3">
      <c r="B3" s="14"/>
      <c r="C3" s="14"/>
      <c r="D3" s="14"/>
      <c r="E3" s="14"/>
      <c r="F3" s="14"/>
      <c r="G3" s="14"/>
      <c r="H3" s="14"/>
      <c r="I3" s="14"/>
      <c r="J3" s="14"/>
      <c r="K3" s="14"/>
      <c r="L3" s="14"/>
      <c r="M3" s="14"/>
      <c r="N3" s="14"/>
      <c r="O3" s="14"/>
    </row>
    <row r="4" spans="2:15" x14ac:dyDescent="0.3">
      <c r="B4" s="5"/>
      <c r="C4" s="5"/>
      <c r="D4" s="5"/>
      <c r="E4" s="5"/>
      <c r="F4" s="5"/>
      <c r="G4" s="5"/>
      <c r="H4" s="5"/>
      <c r="I4" s="5"/>
      <c r="J4" s="5"/>
      <c r="K4" s="5"/>
      <c r="L4" s="5"/>
      <c r="M4" s="5"/>
      <c r="N4" s="5"/>
      <c r="O4" s="5"/>
    </row>
    <row r="5" spans="2:15" x14ac:dyDescent="0.3">
      <c r="B5" s="5"/>
      <c r="C5" s="5"/>
      <c r="D5" s="5"/>
      <c r="E5" s="5"/>
      <c r="F5" s="5"/>
      <c r="G5" s="5"/>
      <c r="H5" s="5"/>
      <c r="I5" s="5"/>
      <c r="J5" s="5"/>
      <c r="K5" s="5"/>
      <c r="L5" s="5"/>
      <c r="M5" s="5"/>
      <c r="N5" s="5"/>
      <c r="O5" s="5"/>
    </row>
    <row r="6" spans="2:15" x14ac:dyDescent="0.3">
      <c r="B6" s="5"/>
      <c r="C6" s="5"/>
      <c r="D6" s="5"/>
      <c r="E6" s="5"/>
      <c r="F6" s="5"/>
      <c r="G6" s="5"/>
      <c r="H6" s="5"/>
      <c r="I6" s="5"/>
      <c r="J6" s="5"/>
      <c r="K6" s="5"/>
      <c r="L6" s="5"/>
      <c r="M6" s="5"/>
      <c r="N6" s="5"/>
      <c r="O6" s="5"/>
    </row>
    <row r="7" spans="2:15" x14ac:dyDescent="0.3">
      <c r="B7" s="5"/>
      <c r="C7" s="5"/>
      <c r="D7" s="5"/>
      <c r="E7" s="5"/>
      <c r="F7" s="5"/>
      <c r="G7" s="5"/>
      <c r="H7" s="5"/>
      <c r="I7" s="5"/>
      <c r="J7" s="5"/>
      <c r="K7" s="5"/>
      <c r="L7" s="5"/>
      <c r="M7" s="5"/>
      <c r="N7" s="5"/>
      <c r="O7" s="5"/>
    </row>
    <row r="8" spans="2:15" x14ac:dyDescent="0.3">
      <c r="B8" s="5"/>
      <c r="C8" s="5"/>
      <c r="D8" s="5"/>
      <c r="E8" s="5"/>
      <c r="F8" s="5"/>
      <c r="G8" s="5"/>
      <c r="H8" s="5"/>
      <c r="I8" s="5"/>
      <c r="J8" s="5"/>
      <c r="K8" s="5"/>
      <c r="L8" s="5"/>
      <c r="M8" s="5"/>
      <c r="N8" s="5"/>
      <c r="O8" s="5"/>
    </row>
    <row r="9" spans="2:15" x14ac:dyDescent="0.3">
      <c r="B9" s="5"/>
      <c r="C9" s="5"/>
      <c r="D9" s="5"/>
      <c r="E9" s="5"/>
      <c r="F9" s="5"/>
      <c r="G9" s="5"/>
      <c r="H9" s="5"/>
      <c r="I9" s="5"/>
      <c r="J9" s="5"/>
      <c r="K9" s="5"/>
      <c r="L9" s="5"/>
      <c r="M9" s="5"/>
      <c r="N9" s="5"/>
      <c r="O9" s="5"/>
    </row>
    <row r="10" spans="2:15" x14ac:dyDescent="0.3">
      <c r="B10" s="5"/>
      <c r="C10" s="5"/>
      <c r="D10" s="5"/>
      <c r="E10" s="5"/>
      <c r="F10" s="5"/>
      <c r="G10" s="5"/>
      <c r="H10" s="5"/>
      <c r="I10" s="5"/>
      <c r="J10" s="5"/>
      <c r="K10" s="5"/>
      <c r="L10" s="5"/>
      <c r="M10" s="5"/>
      <c r="N10" s="5"/>
      <c r="O10" s="6"/>
    </row>
    <row r="11" spans="2:15" x14ac:dyDescent="0.3">
      <c r="B11" s="5"/>
      <c r="C11" s="5"/>
      <c r="D11" s="5"/>
      <c r="E11" s="5"/>
      <c r="F11" s="5"/>
      <c r="G11" s="5"/>
      <c r="H11" s="5"/>
      <c r="I11" s="5"/>
      <c r="J11" s="5"/>
      <c r="K11" s="5"/>
      <c r="L11" s="5"/>
      <c r="M11" s="5"/>
      <c r="N11" s="5"/>
      <c r="O11" s="5"/>
    </row>
    <row r="12" spans="2:15" x14ac:dyDescent="0.3">
      <c r="B12" s="5"/>
      <c r="C12" s="5"/>
      <c r="D12" s="5"/>
      <c r="E12" s="5"/>
      <c r="F12" s="5"/>
      <c r="G12" s="5"/>
      <c r="H12" s="5"/>
      <c r="I12" s="5"/>
      <c r="J12" s="5"/>
      <c r="K12" s="5"/>
      <c r="L12" s="5"/>
      <c r="M12" s="5"/>
      <c r="N12" s="5"/>
      <c r="O12" s="5"/>
    </row>
    <row r="13" spans="2:15" x14ac:dyDescent="0.3">
      <c r="B13" s="5"/>
      <c r="C13" s="5"/>
      <c r="D13" s="5"/>
      <c r="E13" s="5"/>
      <c r="F13" s="5"/>
      <c r="G13" s="5"/>
      <c r="H13" s="5"/>
      <c r="I13" s="5"/>
      <c r="J13" s="5"/>
      <c r="K13" s="5"/>
      <c r="L13" s="5"/>
      <c r="M13" s="5"/>
      <c r="N13" s="5"/>
      <c r="O13" s="5"/>
    </row>
    <row r="14" spans="2:15" x14ac:dyDescent="0.3">
      <c r="B14" s="5"/>
      <c r="C14" s="5"/>
      <c r="D14" s="5"/>
      <c r="E14" s="5"/>
      <c r="F14" s="5"/>
      <c r="G14" s="5"/>
      <c r="H14" s="5"/>
      <c r="I14" s="5"/>
      <c r="J14" s="5"/>
      <c r="K14" s="5"/>
      <c r="L14" s="5"/>
      <c r="M14" s="5"/>
      <c r="N14" s="5"/>
      <c r="O14" s="5"/>
    </row>
    <row r="15" spans="2:15" x14ac:dyDescent="0.3">
      <c r="B15" s="5"/>
      <c r="C15" s="5"/>
      <c r="D15" s="5"/>
      <c r="E15" s="5"/>
      <c r="F15" s="5"/>
      <c r="G15" s="5"/>
      <c r="H15" s="5"/>
      <c r="I15" s="5"/>
      <c r="J15" s="5"/>
      <c r="K15" s="5"/>
      <c r="L15" s="5"/>
      <c r="M15" s="5"/>
      <c r="N15" s="5"/>
      <c r="O15" s="5"/>
    </row>
    <row r="16" spans="2:15" x14ac:dyDescent="0.3">
      <c r="B16" s="5"/>
      <c r="C16" s="5"/>
      <c r="D16" s="5"/>
      <c r="E16" s="5"/>
      <c r="F16" s="5"/>
      <c r="G16" s="5"/>
      <c r="H16" s="5"/>
      <c r="I16" s="5"/>
      <c r="J16" s="5"/>
      <c r="K16" s="5"/>
      <c r="L16" s="5"/>
      <c r="M16" s="5"/>
      <c r="N16" s="5"/>
      <c r="O16" s="5"/>
    </row>
    <row r="17" spans="2:15" x14ac:dyDescent="0.3">
      <c r="B17" s="5"/>
      <c r="C17" s="5"/>
      <c r="D17" s="5"/>
      <c r="E17" s="5"/>
      <c r="F17" s="5"/>
      <c r="G17" s="5"/>
      <c r="H17" s="5"/>
      <c r="I17" s="5"/>
      <c r="J17" s="5"/>
      <c r="K17" s="5"/>
      <c r="L17" s="5"/>
      <c r="M17" s="5"/>
      <c r="N17" s="5"/>
      <c r="O17" s="5"/>
    </row>
    <row r="18" spans="2:15" x14ac:dyDescent="0.3">
      <c r="B18" s="5"/>
      <c r="C18" s="5"/>
      <c r="D18" s="5"/>
      <c r="E18" s="5"/>
      <c r="F18" s="5"/>
      <c r="G18" s="5"/>
      <c r="H18" s="5"/>
      <c r="I18" s="5"/>
      <c r="J18" s="5"/>
      <c r="K18" s="5"/>
      <c r="L18" s="5"/>
      <c r="M18" s="5"/>
      <c r="N18" s="5"/>
      <c r="O18" s="5"/>
    </row>
    <row r="19" spans="2:15" x14ac:dyDescent="0.3">
      <c r="B19" s="5"/>
      <c r="C19" s="5"/>
      <c r="D19" s="5"/>
      <c r="E19" s="5"/>
      <c r="F19" s="5"/>
      <c r="G19" s="5"/>
      <c r="H19" s="5"/>
      <c r="I19" s="5"/>
      <c r="J19" s="5"/>
      <c r="K19" s="5"/>
      <c r="L19" s="5"/>
      <c r="M19" s="5"/>
      <c r="N19" s="5"/>
      <c r="O19" s="5"/>
    </row>
    <row r="20" spans="2:15" x14ac:dyDescent="0.3">
      <c r="B20" s="5"/>
      <c r="C20" s="5"/>
      <c r="D20" s="5"/>
      <c r="E20" s="5"/>
      <c r="F20" s="5"/>
      <c r="G20" s="5"/>
      <c r="H20" s="5"/>
      <c r="I20" s="5"/>
      <c r="J20" s="5"/>
      <c r="K20" s="5"/>
      <c r="L20" s="5"/>
      <c r="M20" s="5"/>
      <c r="N20" s="5"/>
      <c r="O20" s="5"/>
    </row>
    <row r="21" spans="2:15" x14ac:dyDescent="0.3">
      <c r="B21" s="5"/>
      <c r="C21" s="5"/>
      <c r="D21" s="5"/>
      <c r="E21" s="5"/>
      <c r="F21" s="5"/>
      <c r="G21" s="5"/>
      <c r="H21" s="5"/>
      <c r="I21" s="5"/>
      <c r="J21" s="5"/>
      <c r="K21" s="5"/>
      <c r="L21" s="5"/>
      <c r="M21" s="5"/>
      <c r="N21" s="5"/>
      <c r="O21" s="5"/>
    </row>
    <row r="22" spans="2:15" x14ac:dyDescent="0.3">
      <c r="B22" s="5"/>
      <c r="C22" s="5"/>
      <c r="D22" s="5"/>
      <c r="E22" s="5"/>
      <c r="F22" s="5"/>
      <c r="G22" s="5"/>
      <c r="H22" s="5"/>
      <c r="I22" s="5"/>
      <c r="J22" s="5"/>
      <c r="K22" s="5"/>
      <c r="L22" s="5"/>
      <c r="M22" s="5"/>
      <c r="N22" s="5"/>
      <c r="O22" s="5"/>
    </row>
    <row r="23" spans="2:15" x14ac:dyDescent="0.3">
      <c r="B23" s="5"/>
      <c r="C23" s="5"/>
      <c r="D23" s="5"/>
      <c r="E23" s="5"/>
      <c r="F23" s="5"/>
      <c r="G23" s="5"/>
      <c r="H23" s="5"/>
      <c r="I23" s="5"/>
      <c r="J23" s="5"/>
      <c r="K23" s="5"/>
      <c r="L23" s="5"/>
      <c r="M23" s="5"/>
      <c r="N23" s="5"/>
      <c r="O23" s="5"/>
    </row>
    <row r="24" spans="2:15" x14ac:dyDescent="0.3">
      <c r="B24" s="5"/>
      <c r="C24" s="5"/>
      <c r="D24" s="5"/>
      <c r="E24" s="5"/>
      <c r="F24" s="5"/>
      <c r="G24" s="5"/>
      <c r="H24" s="5"/>
      <c r="I24" s="5"/>
      <c r="J24" s="5"/>
      <c r="K24" s="5"/>
      <c r="L24" s="5"/>
      <c r="M24" s="5"/>
      <c r="N24" s="5"/>
      <c r="O24" s="5"/>
    </row>
    <row r="25" spans="2:15" x14ac:dyDescent="0.3">
      <c r="B25" s="5"/>
      <c r="C25" s="5"/>
      <c r="D25" s="5"/>
      <c r="E25" s="5"/>
      <c r="F25" s="5"/>
      <c r="G25" s="5"/>
      <c r="H25" s="5"/>
      <c r="I25" s="5"/>
      <c r="J25" s="5"/>
      <c r="K25" s="5"/>
      <c r="L25" s="5"/>
      <c r="M25" s="5"/>
      <c r="N25" s="5"/>
      <c r="O25" s="5"/>
    </row>
    <row r="26" spans="2:15" x14ac:dyDescent="0.3">
      <c r="B26" s="5"/>
      <c r="C26" s="5"/>
      <c r="D26" s="5"/>
      <c r="E26" s="5"/>
      <c r="F26" s="5"/>
      <c r="G26" s="5"/>
      <c r="H26" s="5"/>
      <c r="I26" s="5"/>
      <c r="J26" s="5"/>
      <c r="K26" s="5"/>
      <c r="L26" s="5"/>
      <c r="M26" s="5"/>
      <c r="N26" s="5"/>
      <c r="O26" s="5"/>
    </row>
    <row r="27" spans="2:15" x14ac:dyDescent="0.3">
      <c r="B27" s="5"/>
      <c r="C27" s="5"/>
      <c r="D27" s="5"/>
      <c r="E27" s="5"/>
      <c r="F27" s="5"/>
      <c r="G27" s="5"/>
      <c r="H27" s="5"/>
      <c r="I27" s="5"/>
      <c r="J27" s="5"/>
      <c r="K27" s="5"/>
      <c r="L27" s="5"/>
      <c r="M27" s="5"/>
      <c r="N27" s="5"/>
      <c r="O27" s="5"/>
    </row>
    <row r="28" spans="2:15" x14ac:dyDescent="0.3">
      <c r="B28" s="5"/>
      <c r="C28" s="5"/>
      <c r="D28" s="5"/>
      <c r="E28" s="5"/>
      <c r="F28" s="5"/>
      <c r="G28" s="5"/>
      <c r="H28" s="5"/>
      <c r="I28" s="5"/>
      <c r="J28" s="5"/>
      <c r="K28" s="5"/>
      <c r="L28" s="5"/>
      <c r="M28" s="5"/>
      <c r="N28" s="5"/>
      <c r="O28" s="5"/>
    </row>
    <row r="29" spans="2:15" x14ac:dyDescent="0.3">
      <c r="B29" s="5"/>
      <c r="C29" s="5"/>
      <c r="D29" s="5"/>
      <c r="E29" s="5"/>
      <c r="F29" s="5"/>
      <c r="G29" s="5"/>
      <c r="H29" s="5"/>
      <c r="I29" s="5"/>
      <c r="J29" s="5"/>
      <c r="K29" s="5"/>
      <c r="L29" s="5"/>
      <c r="M29" s="5"/>
      <c r="N29" s="5"/>
      <c r="O29" s="5"/>
    </row>
    <row r="30" spans="2:15" x14ac:dyDescent="0.3">
      <c r="B30" s="5"/>
      <c r="C30" s="5"/>
      <c r="D30" s="5"/>
      <c r="E30" s="5"/>
      <c r="F30" s="5"/>
      <c r="G30" s="5"/>
      <c r="H30" s="5"/>
      <c r="I30" s="5"/>
      <c r="J30" s="5"/>
      <c r="K30" s="5"/>
      <c r="L30" s="5"/>
      <c r="M30" s="5"/>
      <c r="N30" s="5"/>
      <c r="O30" s="5"/>
    </row>
    <row r="31" spans="2:15" x14ac:dyDescent="0.3">
      <c r="B31" s="5"/>
      <c r="C31" s="5"/>
      <c r="D31" s="5"/>
      <c r="E31" s="5"/>
      <c r="F31" s="5"/>
      <c r="G31" s="5"/>
      <c r="H31" s="5"/>
      <c r="I31" s="5"/>
      <c r="J31" s="5"/>
      <c r="K31" s="5"/>
      <c r="L31" s="5"/>
      <c r="M31" s="5"/>
      <c r="N31" s="5"/>
      <c r="O31" s="5"/>
    </row>
    <row r="32" spans="2:15" x14ac:dyDescent="0.3">
      <c r="B32" s="5"/>
      <c r="C32" s="5"/>
      <c r="D32" s="5"/>
      <c r="E32" s="5"/>
      <c r="F32" s="5"/>
      <c r="G32" s="5"/>
      <c r="H32" s="5"/>
      <c r="I32" s="5"/>
      <c r="J32" s="5"/>
      <c r="K32" s="5"/>
      <c r="L32" s="5"/>
      <c r="M32" s="5"/>
      <c r="N32" s="5"/>
      <c r="O32" s="5"/>
    </row>
    <row r="33" spans="2:15" x14ac:dyDescent="0.3">
      <c r="B33" s="5"/>
      <c r="C33" s="5"/>
      <c r="D33" s="5"/>
      <c r="E33" s="5"/>
      <c r="F33" s="5"/>
      <c r="G33" s="5"/>
      <c r="H33" s="5"/>
      <c r="I33" s="5"/>
      <c r="J33" s="5"/>
      <c r="K33" s="5"/>
      <c r="L33" s="5"/>
      <c r="M33" s="5"/>
      <c r="N33" s="5"/>
      <c r="O33" s="5"/>
    </row>
    <row r="34" spans="2:15" x14ac:dyDescent="0.3">
      <c r="B34" s="5"/>
      <c r="C34" s="5"/>
      <c r="D34" s="5"/>
      <c r="E34" s="5"/>
      <c r="F34" s="5"/>
      <c r="G34" s="5"/>
      <c r="H34" s="5"/>
      <c r="I34" s="5"/>
      <c r="J34" s="5"/>
      <c r="K34" s="5"/>
      <c r="L34" s="5"/>
      <c r="M34" s="5"/>
      <c r="N34" s="5"/>
      <c r="O34" s="5"/>
    </row>
  </sheetData>
  <mergeCells count="1">
    <mergeCell ref="B1: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7603B8-ABB4-4C82-855F-8964FD6B88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analyse-data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Dileep B</cp:lastModifiedBy>
  <cp:lastPrinted>2026-02-23T04:03:04Z</cp:lastPrinted>
  <dcterms:created xsi:type="dcterms:W3CDTF">2026-02-21T09:01:10Z</dcterms:created>
  <dcterms:modified xsi:type="dcterms:W3CDTF">2026-02-23T09:49:53Z</dcterms:modified>
</cp:coreProperties>
</file>